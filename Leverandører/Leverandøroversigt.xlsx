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c622e6d0b9401f" /></Relationships>
</file>

<file path=xl/workbook.xml><?xml version="1.0" encoding="utf-8"?>
<x:workbook xmlns:x="http://schemas.openxmlformats.org/spreadsheetml/2006/main">
  <x:sheets>
    <x:sheet xmlns:r="http://schemas.openxmlformats.org/officeDocument/2006/relationships" name="Overblik" sheetId="1" r:id="R24a4876614b94725"/>
    <x:sheet xmlns:r="http://schemas.openxmlformats.org/officeDocument/2006/relationships" name="Leverandører" sheetId="2" r:id="Rba2def5ba8de4091"/>
    <x:sheet xmlns:r="http://schemas.openxmlformats.org/officeDocument/2006/relationships" name="Kontaktplan" sheetId="3" r:id="R61252a74eb4045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quot;km&quot;"/>
    <x:numFmt numFmtId="201" formatCode="yyyy-mm-dd"/>
  </x:numFmts>
  <x:fonts count="15">
    <x:font>
      <x:sz val="11"/>
      <x:name val="Carlito"/>
    </x:font>
    <x:font>
      <x:b/>
      <x:sz val="20"/>
      <x:color rgb="FFFFFFFF"/>
      <x:name val="Carlito"/>
    </x:font>
    <x:font>
      <x:i/>
      <x:sz val="10"/>
      <x:color rgb="FF23312D"/>
      <x:name val="Carlito"/>
    </x:font>
    <x:font>
      <x:b/>
      <x:sz val="9"/>
      <x:color rgb="FF6B7773"/>
      <x:name val="Carlito"/>
    </x:font>
    <x:font>
      <x:b/>
      <x:sz val="18"/>
      <x:color rgb="FF2F6B55"/>
      <x:name val="Carlito"/>
    </x:font>
    <x:font>
      <x:b/>
      <x:sz val="12"/>
      <x:color rgb="FFFFFFFF"/>
      <x:name val="Carlito"/>
    </x:font>
    <x:font>
      <x:sz val="11"/>
      <x:color rgb="FF23312D"/>
      <x:name val="Carlito"/>
    </x:font>
    <x:font>
      <x:b/>
      <x:sz val="11"/>
      <x:color rgb="FFFFFFFF"/>
      <x:name val="Carlito"/>
    </x:font>
    <x:font>
      <x:sz val="10"/>
      <x:color rgb="FF23312D"/>
      <x:name val="Carlito"/>
    </x:font>
    <x:font>
      <x:b/>
      <x:sz val="10"/>
      <x:color rgb="FF2F6B55"/>
      <x:name val="Carlito"/>
    </x:font>
    <x:font>
      <x:b/>
      <x:sz val="18"/>
      <x:color rgb="FFFFFFFF"/>
      <x:name val="Carlito"/>
    </x:font>
    <x:font>
      <x:sz val="9"/>
      <x:color rgb="FF6B7773"/>
      <x:name val="Carlito"/>
    </x:font>
    <x:font>
      <x:b/>
      <x:sz val="9"/>
      <x:color rgb="FFFFFFFF"/>
      <x:name val="Carlito"/>
    </x:font>
    <x:font>
      <x:sz val="9"/>
      <x:color rgb="FF23312D"/>
      <x:name val="Carlito"/>
    </x:font>
    <x:font>
      <x:b/>
      <x:sz val="9"/>
      <x:color rgb="FF2F6B55"/>
      <x:name val="Carlito"/>
    </x:font>
  </x:fonts>
  <x:fills count="8">
    <x:fill>
      <x:patternFill patternType="none"/>
    </x:fill>
    <x:fill>
      <x:patternFill patternType="gray125"/>
    </x:fill>
    <x:fill>
      <x:patternFill patternType="solid">
        <x:fgColor rgb="FF173B36"/>
      </x:patternFill>
    </x:fill>
    <x:fill>
      <x:patternFill patternType="solid">
        <x:fgColor rgb="FFDDECE3"/>
      </x:patternFill>
    </x:fill>
    <x:fill>
      <x:patternFill patternType="solid">
        <x:fgColor rgb="FFF5F1E8"/>
      </x:patternFill>
    </x:fill>
    <x:fill>
      <x:patternFill patternType="solid">
        <x:fgColor rgb="FFF7FAF8"/>
      </x:patternFill>
    </x:fill>
    <x:fill>
      <x:patternFill patternType="solid">
        <x:fgColor rgb="FF2F6B55"/>
      </x:patternFill>
    </x:fill>
    <x:fill>
      <x:patternFill patternType="solid">
        <x:fgColor rgb="FFD7A94B"/>
      </x:patternFill>
    </x:fill>
  </x:fills>
  <x:borders count="20">
    <x:border/>
    <x:border>
      <x:bottom style="thin">
        <x:color rgb="FFC9D8D0"/>
      </x:bottom>
    </x:border>
    <x:border>
      <x:left style="thin">
        <x:color rgb="FFC9D8D0"/>
      </x:left>
      <x:top style="thin">
        <x:color rgb="FFC9D8D0"/>
      </x:top>
    </x:border>
    <x:border>
      <x:top style="thin">
        <x:color rgb="FFC9D8D0"/>
      </x:top>
    </x:border>
    <x:border>
      <x:right style="thin">
        <x:color rgb="FFC9D8D0"/>
      </x:right>
      <x:top style="thin">
        <x:color rgb="FFC9D8D0"/>
      </x:top>
    </x:border>
    <x:border>
      <x:left style="thin">
        <x:color rgb="FFC9D8D0"/>
      </x:left>
    </x:border>
    <x:border>
      <x:right style="thin">
        <x:color rgb="FFC9D8D0"/>
      </x:right>
    </x:border>
    <x:border>
      <x:left style="thin">
        <x:color rgb="FFC9D8D0"/>
      </x:left>
      <x:bottom style="thin">
        <x:color rgb="FFC9D8D0"/>
      </x:bottom>
    </x:border>
    <x:border>
      <x:right style="thin">
        <x:color rgb="FFC9D8D0"/>
      </x:right>
      <x:bottom style="thin">
        <x:color rgb="FFC9D8D0"/>
      </x:bottom>
    </x:border>
    <x:border>
      <x:bottom style="thin">
        <x:color rgb="FFD9E2DD"/>
      </x:bottom>
    </x:border>
    <x:border>
      <x:top style="thin">
        <x:color rgb="FFD9E2DD"/>
      </x:top>
      <x:bottom style="thin">
        <x:color rgb="FFD9E2DD"/>
      </x:bottom>
    </x:border>
    <x:border>
      <x:top style="thin">
        <x:color rgb="FFD9E2DD"/>
      </x:top>
    </x:border>
    <x:border>
      <x:left style="thin">
        <x:color rgb="FFDACDAF"/>
      </x:left>
      <x:top style="thin">
        <x:color rgb="FFDACDAF"/>
      </x:top>
    </x:border>
    <x:border>
      <x:top style="thin">
        <x:color rgb="FFDACDAF"/>
      </x:top>
    </x:border>
    <x:border>
      <x:right style="thin">
        <x:color rgb="FFDACDAF"/>
      </x:right>
      <x:top style="thin">
        <x:color rgb="FFDACDAF"/>
      </x:top>
    </x:border>
    <x:border>
      <x:left style="thin">
        <x:color rgb="FFDACDAF"/>
      </x:left>
    </x:border>
    <x:border>
      <x:right style="thin">
        <x:color rgb="FFDACDAF"/>
      </x:right>
    </x:border>
    <x:border>
      <x:left style="thin">
        <x:color rgb="FFDACDAF"/>
      </x:left>
      <x:bottom style="thin">
        <x:color rgb="FFDACDAF"/>
      </x:bottom>
    </x:border>
    <x:border>
      <x:bottom style="thin">
        <x:color rgb="FFDACDAF"/>
      </x:bottom>
    </x:border>
    <x:border>
      <x:right style="thin">
        <x:color rgb="FFDACDAF"/>
      </x:right>
      <x:bottom style="thin">
        <x:color rgb="FFDACDAF"/>
      </x:bottom>
    </x:border>
  </x:borders>
  <x:cellStyleXfs count="1">
    <x:xf numFmtId="0" fontId="0" fillId="0" borderId="0"/>
  </x:cellStyleXfs>
  <x:cellXfs count="1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6" fillId="5" borderId="0"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1" xfId="0" applyNumberFormat="1" applyFont="1" applyFill="1" applyBorder="1"/>
    <x:xf numFmtId="0" fontId="6" fillId="5" borderId="8" xfId="0" applyNumberFormat="1" applyFont="1" applyFill="1" applyBorder="1"/>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8" xfId="0" applyNumberFormat="1" applyFont="1" applyFill="1" applyBorder="1" applyAlignment="1">
      <x:alignment wrapText="1"/>
    </x:xf>
    <x:xf numFmtId="0" fontId="6" fillId="5" borderId="2" xfId="0" applyNumberFormat="1" applyFont="1" applyFill="1" applyBorder="1" applyAlignment="1">
      <x:alignment vertical="center" wrapText="1"/>
    </x:xf>
    <x:xf numFmtId="0" fontId="6" fillId="5" borderId="3" xfId="0" applyNumberFormat="1" applyFont="1" applyFill="1" applyBorder="1" applyAlignment="1">
      <x:alignment vertical="center" wrapText="1"/>
    </x:xf>
    <x:xf numFmtId="0" fontId="6" fillId="5" borderId="4" xfId="0" applyNumberFormat="1" applyFont="1" applyFill="1" applyBorder="1" applyAlignment="1">
      <x:alignment vertical="center" wrapText="1"/>
    </x:xf>
    <x:xf numFmtId="0" fontId="6" fillId="5" borderId="5"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6" xfId="0" applyNumberFormat="1" applyFont="1" applyFill="1" applyBorder="1" applyAlignment="1">
      <x:alignment vertical="center" wrapText="1"/>
    </x:xf>
    <x:xf numFmtId="0" fontId="6" fillId="5" borderId="7"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6" fillId="5" borderId="8" xfId="0" applyNumberFormat="1" applyFont="1" applyFill="1" applyBorder="1" applyAlignment="1">
      <x:alignment vertical="center" wrapText="1"/>
    </x:xf>
    <x:xf numFmtId="0" fontId="7" fillId="2" borderId="0" xfId="0" applyNumberFormat="1" applyFont="1" applyFill="1" applyBorder="1"/>
    <x:xf numFmtId="0" fontId="8" fillId="0" borderId="0" xfId="0" applyNumberFormat="1" applyFont="1" applyFill="1" applyBorder="1"/>
    <x:xf numFmtId="0" fontId="8" fillId="0" borderId="9"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9" xfId="0" applyNumberFormat="1" applyFont="1" applyFill="1" applyBorder="1" applyAlignment="1">
      <x:alignment wrapText="1"/>
    </x:xf>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3" borderId="9" xfId="0" applyNumberFormat="1" applyFont="1" applyFill="1" applyBorder="1" applyAlignment="1">
      <x:alignment vertical="top" wrapText="1"/>
    </x:xf>
    <x:xf numFmtId="0" fontId="8" fillId="3" borderId="10" xfId="0" applyNumberFormat="1" applyFont="1" applyFill="1" applyBorder="1" applyAlignment="1">
      <x:alignment vertical="top" wrapText="1"/>
    </x:xf>
    <x:xf numFmtId="0" fontId="8" fillId="3" borderId="11" xfId="0" applyNumberFormat="1" applyFont="1" applyFill="1" applyBorder="1" applyAlignment="1">
      <x:alignment vertical="top" wrapText="1"/>
    </x:xf>
    <x:xf numFmtId="0" fontId="9" fillId="3" borderId="9" xfId="0" applyNumberFormat="1" applyFont="1" applyFill="1" applyBorder="1" applyAlignment="1">
      <x:alignment vertical="top" wrapText="1"/>
    </x:xf>
    <x:xf numFmtId="0" fontId="9" fillId="3" borderId="10" xfId="0" applyNumberFormat="1" applyFont="1" applyFill="1" applyBorder="1" applyAlignment="1">
      <x:alignment vertical="top" wrapText="1"/>
    </x:xf>
    <x:xf numFmtId="0" fontId="9" fillId="3" borderId="11" xfId="0" applyNumberFormat="1" applyFont="1" applyFill="1" applyBorder="1" applyAlignment="1">
      <x:alignment vertical="top" wrapText="1"/>
    </x:xf>
    <x:xf numFmtId="0" fontId="9" fillId="3" borderId="9" xfId="0" applyNumberFormat="1" applyFont="1" applyFill="1" applyBorder="1" applyAlignment="1">
      <x:alignment horizontal="center" vertical="top" wrapText="1"/>
    </x:xf>
    <x:xf numFmtId="0" fontId="9" fillId="3" borderId="10" xfId="0" applyNumberFormat="1" applyFont="1" applyFill="1" applyBorder="1" applyAlignment="1">
      <x:alignment horizontal="center" vertical="top" wrapText="1"/>
    </x:xf>
    <x:xf numFmtId="0" fontId="9" fillId="3" borderId="11" xfId="0" applyNumberFormat="1" applyFont="1" applyFill="1" applyBorder="1" applyAlignment="1">
      <x:alignment horizontal="center" vertical="top" wrapText="1"/>
    </x:xf>
    <x:xf numFmtId="0" fontId="0" fillId="7" borderId="0" xfId="0" applyNumberFormat="1" applyFont="1" applyFill="1" applyBorder="1"/>
    <x:xf numFmtId="0" fontId="7" fillId="7" borderId="0" xfId="0" applyNumberFormat="1" applyFont="1" applyFill="1" applyBorder="1"/>
    <x:xf numFmtId="0" fontId="8" fillId="4" borderId="0" xfId="0" applyNumberFormat="1" applyFont="1" applyFill="1" applyBorder="1"/>
    <x:xf numFmtId="0" fontId="8" fillId="4" borderId="12" xfId="0" applyNumberFormat="1" applyFont="1" applyFill="1" applyBorder="1"/>
    <x:xf numFmtId="0" fontId="8" fillId="4" borderId="13" xfId="0" applyNumberFormat="1" applyFont="1" applyFill="1" applyBorder="1"/>
    <x:xf numFmtId="0" fontId="8" fillId="4" borderId="14" xfId="0" applyNumberFormat="1" applyFont="1" applyFill="1" applyBorder="1"/>
    <x:xf numFmtId="0" fontId="8" fillId="4" borderId="15" xfId="0" applyNumberFormat="1" applyFont="1" applyFill="1" applyBorder="1"/>
    <x:xf numFmtId="0" fontId="8" fillId="4" borderId="16" xfId="0" applyNumberFormat="1" applyFont="1" applyFill="1" applyBorder="1"/>
    <x:xf numFmtId="0" fontId="8" fillId="4" borderId="17" xfId="0" applyNumberFormat="1" applyFont="1" applyFill="1" applyBorder="1"/>
    <x:xf numFmtId="0" fontId="8" fillId="4" borderId="18" xfId="0" applyNumberFormat="1" applyFont="1" applyFill="1" applyBorder="1"/>
    <x:xf numFmtId="0" fontId="8" fillId="4" borderId="19" xfId="0" applyNumberFormat="1" applyFont="1" applyFill="1" applyBorder="1"/>
    <x:xf numFmtId="0" fontId="8" fillId="4" borderId="12"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14" xfId="0" applyNumberFormat="1" applyFont="1" applyFill="1" applyBorder="1" applyAlignment="1">
      <x:alignment wrapText="1"/>
    </x:xf>
    <x:xf numFmtId="0" fontId="8" fillId="4" borderId="15" xfId="0" applyNumberFormat="1" applyFont="1" applyFill="1" applyBorder="1" applyAlignment="1">
      <x:alignment wrapText="1"/>
    </x:xf>
    <x:xf numFmtId="0" fontId="8" fillId="4" borderId="0" xfId="0" applyNumberFormat="1" applyFont="1" applyFill="1" applyBorder="1" applyAlignment="1">
      <x:alignment wrapText="1"/>
    </x:xf>
    <x:xf numFmtId="0" fontId="8" fillId="4" borderId="16" xfId="0" applyNumberFormat="1" applyFont="1" applyFill="1" applyBorder="1" applyAlignment="1">
      <x:alignment wrapText="1"/>
    </x:xf>
    <x:xf numFmtId="0" fontId="8" fillId="4" borderId="17" xfId="0" applyNumberFormat="1" applyFont="1" applyFill="1" applyBorder="1" applyAlignment="1">
      <x:alignment wrapText="1"/>
    </x:xf>
    <x:xf numFmtId="0" fontId="8" fillId="4" borderId="18" xfId="0" applyNumberFormat="1" applyFont="1" applyFill="1" applyBorder="1" applyAlignment="1">
      <x:alignment wrapText="1"/>
    </x:xf>
    <x:xf numFmtId="0" fontId="8" fillId="4" borderId="19" xfId="0" applyNumberFormat="1" applyFont="1" applyFill="1" applyBorder="1" applyAlignment="1">
      <x:alignment wrapText="1"/>
    </x:xf>
    <x:xf numFmtId="0" fontId="8" fillId="4" borderId="12" xfId="0" applyNumberFormat="1" applyFont="1" applyFill="1" applyBorder="1" applyAlignment="1">
      <x:alignment vertical="top" wrapText="1"/>
    </x:xf>
    <x:xf numFmtId="0" fontId="8" fillId="4" borderId="13" xfId="0" applyNumberFormat="1" applyFont="1" applyFill="1" applyBorder="1" applyAlignment="1">
      <x:alignment vertical="top" wrapText="1"/>
    </x:xf>
    <x:xf numFmtId="0" fontId="8" fillId="4" borderId="14" xfId="0" applyNumberFormat="1" applyFont="1" applyFill="1" applyBorder="1" applyAlignment="1">
      <x:alignment vertical="top" wrapText="1"/>
    </x:xf>
    <x:xf numFmtId="0" fontId="8" fillId="4" borderId="15"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8" fillId="4" borderId="16" xfId="0" applyNumberFormat="1" applyFont="1" applyFill="1" applyBorder="1" applyAlignment="1">
      <x:alignment vertical="top" wrapText="1"/>
    </x:xf>
    <x:xf numFmtId="0" fontId="8" fillId="4" borderId="17" xfId="0" applyNumberFormat="1" applyFont="1" applyFill="1" applyBorder="1" applyAlignment="1">
      <x:alignment vertical="top" wrapText="1"/>
    </x:xf>
    <x:xf numFmtId="0" fontId="8" fillId="4" borderId="18" xfId="0" applyNumberFormat="1" applyFont="1" applyFill="1" applyBorder="1" applyAlignment="1">
      <x:alignment vertical="top" wrapText="1"/>
    </x:xf>
    <x:xf numFmtId="0" fontId="8" fillId="4" borderId="19"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1" fillId="0" borderId="0" xfId="0" applyNumberFormat="1" applyFont="1" applyFill="1" applyBorder="1"/>
    <x:xf numFmtId="0" fontId="12" fillId="6" borderId="0" xfId="0" applyNumberFormat="1" applyFont="1" applyFill="1" applyBorder="1"/>
    <x:xf numFmtId="0" fontId="12" fillId="6" borderId="0" xfId="0" applyNumberFormat="1" applyFont="1" applyFill="1" applyBorder="1" applyAlignment="1">
      <x:alignment wrapText="1"/>
    </x:xf>
    <x:xf numFmtId="0" fontId="12" fillId="6" borderId="0" xfId="0" applyNumberFormat="1" applyFont="1" applyFill="1" applyBorder="1" applyAlignment="1">
      <x:alignment vertical="center"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14" fillId="0" borderId="0" xfId="0" applyNumberFormat="1" applyFont="1" applyFill="1" applyBorder="1" applyAlignment="1">
      <x:alignment horizontal="center" vertical="top" wrapText="1"/>
    </x:xf>
    <x:xf numFmtId="200" fontId="13" fillId="0" borderId="0" xfId="0" applyNumberFormat="1" applyFont="1" applyFill="1" applyBorder="1" applyAlignment="1">
      <x:alignment vertical="top" wrapText="1"/>
    </x:xf>
    <x:xf numFmtId="200" fontId="13" fillId="0" borderId="0" xfId="0" applyNumberFormat="1" applyFont="1" applyFill="1" applyBorder="1" applyAlignment="1">
      <x:alignment horizontal="right" vertical="top" wrapText="1"/>
    </x:xf>
    <x:xf numFmtId="201" fontId="13" fillId="0"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7" fillId="6" borderId="0" xfId="0" applyNumberFormat="1" applyFont="1" applyFill="1" applyBorder="1"/>
    <x:xf numFmtId="0" fontId="7" fillId="6" borderId="0"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0" xfId="0" applyNumberFormat="1" applyFont="1" applyFill="1" applyBorder="1" applyAlignment="1">
      <x:alignment horizontal="center" vertical="top" wrapText="1"/>
    </x:xf>
    <x:xf numFmtId="201" fontId="8" fillId="0" borderId="0" xfId="0" applyNumberFormat="1" applyFont="1" applyFill="1" applyBorder="1" applyAlignment="1">
      <x:alignment vertical="top" wrapText="1"/>
    </x:xf>
  </x:cellXfs>
  <x:cellStyles count="1">
    <x:cellStyle name="Normal" xfId="0"/>
  </x:cellStyles>
  <x:dxfs count="5">
    <x:dxf>
      <x:font>
        <x:b/>
        <x:color rgb="FF173B36"/>
      </x:font>
      <x:fill>
        <x:patternFill patternType="solid">
          <x:bgColor rgb="FFDDECE3"/>
        </x:patternFill>
      </x:fill>
    </x:dxf>
    <x:dxf>
      <x:font>
        <x:color rgb="FF2F6B55"/>
      </x:font>
      <x:fill>
        <x:patternFill patternType="solid">
          <x:bgColor rgb="FFE2F0D9"/>
        </x:patternFill>
      </x:fill>
    </x:dxf>
    <x:dxf>
      <x:font>
        <x:color rgb="FF7F6000"/>
      </x:font>
      <x:fill>
        <x:patternFill patternType="solid">
          <x:bgColor rgb="FFFFF2CC"/>
        </x:patternFill>
      </x:fill>
    </x:dxf>
    <x:dxf>
      <x:font>
        <x:b/>
        <x:color rgb="FF2F6B55"/>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c0e96f22d44437" /><Relationship Type="http://schemas.openxmlformats.org/officeDocument/2006/relationships/theme" Target="/xl/theme/theme1.xml" Id="Rbbbd5d7a1166423f" /><Relationship Type="http://schemas.openxmlformats.org/officeDocument/2006/relationships/sharedStrings" Target="/xl/sharedStrings.xml" Id="R45f91d078840410d" /><Relationship Type="http://schemas.openxmlformats.org/officeDocument/2006/relationships/worksheet" Target="/xl/worksheets/sheet1.xml" Id="R24a4876614b94725" /><Relationship Type="http://schemas.openxmlformats.org/officeDocument/2006/relationships/worksheet" Target="/xl/worksheets/sheet2.xml" Id="Rba2def5ba8de4091" /><Relationship Type="http://schemas.openxmlformats.org/officeDocument/2006/relationships/worksheet" Target="/xl/worksheets/sheet3.xml" Id="R61252a74eb40451f" /></Relationships>
</file>

<file path=xl/tables/table1.xml><?xml version="1.0" encoding="utf-8"?>
<x:table xmlns:x="http://schemas.openxmlformats.org/spreadsheetml/2006/main" id="1" name="LeverandoererTable" displayName="LeverandoererTable" ref="A5:T27" headerRowCount="1" totalsRowCount="0" totalsRowShown="0">
  <x:autoFilter ref="A5:T27"/>
  <x:tableColumns count="20">
    <x:tableColumn id="1" name="Prioritet"/>
    <x:tableColumn id="2" name="Rolle"/>
    <x:tableColumn id="3" name="Leverandør"/>
    <x:tableColumn id="4" name="Hovedkategori"/>
    <x:tableColumn id="5" name="Sortiment / styrke"/>
    <x:tableColumn id="6" name="Adresse"/>
    <x:tableColumn id="7" name="Post / by"/>
    <x:tableColumn id="8" name="Ca. km"/>
    <x:tableColumn id="9" name="Afstandsnote"/>
    <x:tableColumn id="10" name="Levering til 7080"/>
    <x:tableColumn id="11" name="Adgang"/>
    <x:tableColumn id="12" name="Telefon"/>
    <x:tableColumn id="13" name="E-mail"/>
    <x:tableColumn id="14" name="Website"/>
    <x:tableColumn id="15" name="Anbefalet anvendelse"/>
    <x:tableColumn id="16" name="Første spørgsmål"/>
    <x:tableColumn id="17" name="Kilde-URL"/>
    <x:tableColumn id="18" name="Kontrolleret"/>
    <x:tableColumn id="19" name="Sikkerhed"/>
    <x:tableColumn id="20" name="Bemærkning"/>
  </x:tableColumns>
  <x:tableStyleInfo name="TableStyleMedium4" showFirstColumn="0" showLastColumn="0" showRowStripes="1" showColumnStripes="0"/>
</x:table>
</file>

<file path=xl/tables/table2.xml><?xml version="1.0" encoding="utf-8"?>
<x:table xmlns:x="http://schemas.openxmlformats.org/spreadsheetml/2006/main" id="2" name="KontaktplanTable" displayName="KontaktplanTable" ref="A4:I12" headerRowCount="1" totalsRowCount="0" totalsRowShown="0">
  <x:tableColumns count="9">
    <x:tableColumn id="1" name="Rækkefølge"/>
    <x:tableColumn id="2" name="Leverandør"/>
    <x:tableColumn id="3" name="Formål"/>
    <x:tableColumn id="4" name="Status"/>
    <x:tableColumn id="5" name="Første handling"/>
    <x:tableColumn id="6" name="Senest kontaktet"/>
    <x:tableColumn id="7" name="Næste opfølgning"/>
    <x:tableColumn id="8" name="Prøveordre / møde"/>
    <x:tableColumn id="9" name="Noter"/>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9e539c61664375" /></Relationships>
</file>

<file path=xl/worksheets/_rels/sheet3.xml.rels>&#65279;<?xml version="1.0" encoding="utf-8"?><Relationships xmlns="http://schemas.openxmlformats.org/package/2006/relationships"><Relationship Type="http://schemas.openxmlformats.org/officeDocument/2006/relationships/table" Target="/xl/tables/table2.xml" Id="R1033c3ef38b443d9"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3" hidden="0" customWidth="1"/>
    <x:col min="4" max="4" width="48"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ht="38" customHeight="1">
      <x:c r="A1" s="3" t="str">
        <x:v>Leverandøroversigt — Brejning / 7080</x:v>
      </x:c>
      <x:c r="B1" s="3"/>
      <x:c r="C1" s="3"/>
      <x:c r="D1" s="3"/>
      <x:c r="E1" s="3"/>
      <x:c r="F1" s="3"/>
      <x:c r="G1" s="3"/>
      <x:c r="H1" s="3"/>
      <x:c r="I1" s="3"/>
      <x:c r="J1" s="3"/>
    </x:row>
    <x:row r="2" ht="24" customHeight="1">
      <x:c r="A2" s="6" t="str">
        <x:v>Beslutningsgrundlag til fremtidigt menukort · research kontrolleret 20. august 2026</x:v>
      </x:c>
      <x:c r="B2" s="6"/>
      <x:c r="C2" s="6"/>
      <x:c r="D2" s="6"/>
      <x:c r="E2" s="6"/>
      <x:c r="F2" s="6"/>
      <x:c r="G2" s="6"/>
      <x:c r="H2" s="6"/>
      <x:c r="I2" s="6"/>
      <x:c r="J2" s="6"/>
    </x:row>
    <x:row r="4">
      <x:c r="A4" s="9" t="str">
        <x:v>Leverandører i alt</x:v>
      </x:c>
      <x:c r="B4" s="9"/>
      <x:c r="C4" s="9" t="str">
        <x:v>Levering dokumenteret</x:v>
      </x:c>
      <x:c r="D4" s="9"/>
      <x:c r="E4" s="9" t="str">
        <x:v>Inden for ca. 40 km</x:v>
      </x:c>
      <x:c r="F4" s="9"/>
      <x:c r="G4" s="9" t="str">
        <x:v>Grøntleverandører</x:v>
      </x:c>
      <x:c r="H4" s="9"/>
      <x:c r="I4" s="9" t="str">
        <x:v>Prioritet 1</x:v>
      </x:c>
      <x:c r="J4" s="9"/>
    </x:row>
    <x:row r="5" ht="34" customHeight="1">
      <x:c r="A5" s="14" t="n">
        <x:f>COUNTA('Leverandører'!$C$6:$C$27)</x:f>
        <x:v>22</x:v>
      </x:c>
      <x:c r="B5" s="14"/>
      <x:c r="C5" s="14" t="n">
        <x:f>COUNTIF('Leverandører'!$J$6:$J$27,"Dokumenteret")</x:f>
        <x:v>7</x:v>
      </x:c>
      <x:c r="D5" s="14"/>
      <x:c r="E5" s="14" t="n">
        <x:f>COUNTIFS('Leverandører'!$H$6:$H$27,"&lt;=40",'Leverandører'!$H$6:$H$27,"&gt;0")</x:f>
        <x:v>9</x:v>
      </x:c>
      <x:c r="F5" s="14"/>
      <x:c r="G5" s="14" t="n">
        <x:f>COUNTIF('Leverandører'!$D$6:$D$27,"Grønt")</x:f>
        <x:v>8</x:v>
      </x:c>
      <x:c r="H5" s="14"/>
      <x:c r="I5" s="14" t="n">
        <x:f>COUNTIF('Leverandører'!$A$6:$A$27,1)</x:f>
        <x:v>9</x:v>
      </x:c>
      <x:c r="J5" s="14"/>
    </x:row>
    <x:row r="7">
      <x:c r="A7" s="16" t="str">
        <x:v>Anbefalet leverandørmodel</x:v>
      </x:c>
      <x:c r="B7" s="16"/>
      <x:c r="C7" s="16"/>
      <x:c r="D7" s="16"/>
      <x:c r="E7" s="16"/>
      <x:c r="F7" s="16"/>
      <x:c r="G7" s="16"/>
      <x:c r="H7" s="16"/>
      <x:c r="I7" s="16"/>
      <x:c r="J7" s="16"/>
    </x:row>
    <x:row r="8">
      <x:c r="A8" s="35" t="str">
        <x:v>Behold Dagrofa som driftsrygrad til 70–80 % af standardindkøbet. Byg derefter karakter med én stabil grøntspecialist (start med H&amp;P), én lokal sæsonrelation (Rødmose eller Det Lille Økori) og én periodisk kolonialkanal (Gourmet Engros, Biogan, Megafood eller Gastro Import). Tilføj kun fisk, ost og fjerkræ som selvstændige leverandører, når de får en reel rolle på menukortet.</x:v>
      </x:c>
      <x:c r="B8" s="36"/>
      <x:c r="C8" s="36"/>
      <x:c r="D8" s="36"/>
      <x:c r="E8" s="36"/>
      <x:c r="F8" s="36"/>
      <x:c r="G8" s="36"/>
      <x:c r="H8" s="36"/>
      <x:c r="I8" s="36"/>
      <x:c r="J8" s="37"/>
    </x:row>
    <x:row r="9">
      <x:c r="A9" s="38"/>
      <x:c r="B9" s="39"/>
      <x:c r="C9" s="39"/>
      <x:c r="D9" s="39"/>
      <x:c r="E9" s="39"/>
      <x:c r="F9" s="39"/>
      <x:c r="G9" s="39"/>
      <x:c r="H9" s="39"/>
      <x:c r="I9" s="39"/>
      <x:c r="J9" s="40"/>
    </x:row>
    <x:row r="10">
      <x:c r="A10" s="41"/>
      <x:c r="B10" s="42"/>
      <x:c r="C10" s="42"/>
      <x:c r="D10" s="42"/>
      <x:c r="E10" s="42"/>
      <x:c r="F10" s="42"/>
      <x:c r="G10" s="42"/>
      <x:c r="H10" s="42"/>
      <x:c r="I10" s="42"/>
      <x:c r="J10" s="43"/>
    </x:row>
    <x:row r="12">
      <x:c r="A12" s="44" t="str">
        <x:v>Rækkefølge</x:v>
      </x:c>
      <x:c r="B12" s="44" t="str">
        <x:v>Leverandør</x:v>
      </x:c>
      <x:c r="C12" s="44" t="str">
        <x:v>Rolle</x:v>
      </x:c>
      <x:c r="D12" s="44" t="str">
        <x:v>Næste skridt</x:v>
      </x:c>
      <x:c r="F12" s="65" t="str">
        <x:v>Vigtige forbehold</x:v>
      </x:c>
      <x:c r="G12" s="65"/>
      <x:c r="H12" s="65"/>
      <x:c r="I12" s="65"/>
      <x:c r="J12" s="65"/>
    </x:row>
    <x:row r="13">
      <x:c r="A13" s="61" t="n">
        <x:v>1</x:v>
      </x:c>
      <x:c r="B13" s="52" t="str">
        <x:v>H &amp; P Frugtimport</x:v>
      </x:c>
      <x:c r="C13" s="52" t="str">
        <x:v>Grøn rygrad</x:v>
      </x:c>
      <x:c r="D13" s="52" t="str">
        <x:v>Få leveringsdage, minimum og adgang til ugens sæson-/specialliste</x:v>
      </x:c>
      <x:c r="F13" s="84" t="str">
        <x:v>• Afstande er afrundede køreafstande fra Brejning og er kun planlægningspejlemærker. Samsø inkluderer færge og er særlig usikker.
• “Dokumenteret” betyder, at leverandøren offentligt beskriver levering, som dækker Danmark/Jylland eller professionelle kunder. Den konkrete adresse, ugedag, minimumsordre og fragt skal stadig bekræftes.
• Priser er ikke medtaget, fordi B2B-priser, ruter og minimumsordrer typisk kræver kundeoprettelse.
• En god leverandørmodel handler om færre, tydelige roller — ikke flest mulige konti.</x:v>
      </x:c>
      <x:c r="G13" s="85"/>
      <x:c r="H13" s="85"/>
      <x:c r="I13" s="85"/>
      <x:c r="J13" s="86"/>
    </x:row>
    <x:row r="14">
      <x:c r="A14" s="62" t="n">
        <x:v>2</x:v>
      </x:c>
      <x:c r="B14" s="53" t="str">
        <x:v>Gourmet Engros</x:v>
      </x:c>
      <x:c r="C14" s="53" t="str">
        <x:v>Specialkolonial tæt på</x:v>
      </x:c>
      <x:c r="D14" s="53" t="str">
        <x:v>Få B2B-vilkår og en fokuseret startkurv til menukortet</x:v>
      </x:c>
      <x:c r="F14" s="87"/>
      <x:c r="G14" s="88"/>
      <x:c r="H14" s="88"/>
      <x:c r="I14" s="88"/>
      <x:c r="J14" s="89"/>
    </x:row>
    <x:row r="15">
      <x:c r="A15" s="62" t="n">
        <x:v>3</x:v>
      </x:c>
      <x:c r="B15" s="53" t="str">
        <x:v>Gartneriet Rødmose</x:v>
      </x:c>
      <x:c r="C15" s="53" t="str">
        <x:v>Lokal sæson</x:v>
      </x:c>
      <x:c r="D15" s="53" t="str">
        <x:v>Aftal markliste samt fast afhentning eller levering</x:v>
      </x:c>
      <x:c r="F15" s="87"/>
      <x:c r="G15" s="88"/>
      <x:c r="H15" s="88"/>
      <x:c r="I15" s="88"/>
      <x:c r="J15" s="89"/>
    </x:row>
    <x:row r="16">
      <x:c r="A16" s="62" t="n">
        <x:v>4</x:v>
      </x:c>
      <x:c r="B16" s="53" t="str">
        <x:v>Det Lille Økori</x:v>
      </x:c>
      <x:c r="C16" s="53" t="str">
        <x:v>Karaktervarer</x:v>
      </x:c>
      <x:c r="D16" s="53" t="str">
        <x:v>Afklar kapacitet, ugeliste og restaurantlevering</x:v>
      </x:c>
      <x:c r="F16" s="87"/>
      <x:c r="G16" s="88"/>
      <x:c r="H16" s="88"/>
      <x:c r="I16" s="88"/>
      <x:c r="J16" s="89"/>
    </x:row>
    <x:row r="17">
      <x:c r="A17" s="62" t="n">
        <x:v>5</x:v>
      </x:c>
      <x:c r="B17" s="53" t="str">
        <x:v>Aarstiderne Engros</x:v>
      </x:c>
      <x:c r="C17" s="53" t="str">
        <x:v>Samlet øko-alternativ</x:v>
      </x:c>
      <x:c r="D17" s="53" t="str">
        <x:v>Sammenlign grønt, kolonial og leveringsøkonomi med Dagrofa</x:v>
      </x:c>
      <x:c r="F17" s="87"/>
      <x:c r="G17" s="88"/>
      <x:c r="H17" s="88"/>
      <x:c r="I17" s="88"/>
      <x:c r="J17" s="89"/>
    </x:row>
    <x:row r="18">
      <x:c r="A18" s="62" t="n">
        <x:v>6</x:v>
      </x:c>
      <x:c r="B18" s="53" t="str">
        <x:v>Biogan</x:v>
      </x:c>
      <x:c r="C18" s="53" t="str">
        <x:v>Øko tørvarer</x:v>
      </x:c>
      <x:c r="D18" s="53" t="str">
        <x:v>Få storkøkkenkatalog og fragtgrænser</x:v>
      </x:c>
      <x:c r="F18" s="87"/>
      <x:c r="G18" s="88"/>
      <x:c r="H18" s="88"/>
      <x:c r="I18" s="88"/>
      <x:c r="J18" s="89"/>
    </x:row>
    <x:row r="19">
      <x:c r="A19" s="62" t="n">
        <x:v>7</x:v>
      </x:c>
      <x:c r="B19" s="53" t="str">
        <x:v>Megafood</x:v>
      </x:c>
      <x:c r="C19" s="53" t="str">
        <x:v>International kolonial</x:v>
      </x:c>
      <x:c r="D19" s="53" t="str">
        <x:v>Tag en sortiments-/inspirationstur til Brabrand</x:v>
      </x:c>
      <x:c r="F19" s="87"/>
      <x:c r="G19" s="88"/>
      <x:c r="H19" s="88"/>
      <x:c r="I19" s="88"/>
      <x:c r="J19" s="89"/>
    </x:row>
    <x:row r="20">
      <x:c r="A20" s="63" t="n">
        <x:v>8</x:v>
      </x:c>
      <x:c r="B20" s="54" t="str">
        <x:v>Gastro Import</x:v>
      </x:c>
      <x:c r="C20" s="54" t="str">
        <x:v>Sydeuropæiske specialvarer</x:v>
      </x:c>
      <x:c r="D20" s="54" t="str">
        <x:v>Planlæg periodisk ordre og få Jyllandsrute bekræftet</x:v>
      </x:c>
      <x:c r="F20" s="90"/>
      <x:c r="G20" s="91"/>
      <x:c r="H20" s="91"/>
      <x:c r="I20" s="91"/>
      <x:c r="J20" s="92"/>
    </x:row>
  </x:sheetData>
  <x:mergeCells>
    <x:mergeCell ref="A1:J1"/>
    <x:mergeCell ref="A2:J2"/>
    <x:mergeCell ref="A4:B4"/>
    <x:mergeCell ref="C4:D4"/>
    <x:mergeCell ref="E4:F4"/>
    <x:mergeCell ref="G4:H4"/>
    <x:mergeCell ref="I4:J4"/>
    <x:mergeCell ref="A5:B5"/>
    <x:mergeCell ref="C5:D5"/>
    <x:mergeCell ref="E5:F5"/>
    <x:mergeCell ref="G5:H5"/>
    <x:mergeCell ref="I5:J5"/>
    <x:mergeCell ref="A7:J7"/>
    <x:mergeCell ref="A8:J10"/>
    <x:mergeCell ref="F12:J12"/>
    <x:mergeCell ref="F13:J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6" hidden="0" customWidth="1"/>
    <x:col min="3" max="3" width="24" hidden="0" customWidth="1"/>
    <x:col min="4" max="4" width="15" hidden="0" customWidth="1"/>
    <x:col min="5" max="5" width="45" hidden="0" customWidth="1"/>
    <x:col min="6" max="6" width="27" hidden="0" customWidth="1"/>
    <x:col min="7" max="7" width="18" hidden="0" customWidth="1"/>
    <x:col min="8" max="8" width="10" hidden="0" customWidth="1"/>
    <x:col min="9" max="9" width="24" hidden="0" customWidth="1"/>
    <x:col min="10" max="10" width="18" hidden="0" customWidth="1"/>
    <x:col min="11" max="11" width="25" hidden="0" customWidth="1"/>
    <x:col min="12" max="12" width="16" hidden="0" customWidth="1"/>
    <x:col min="13" max="13" width="28" hidden="0" customWidth="1"/>
    <x:col min="14" max="14" width="28" hidden="0" customWidth="1"/>
    <x:col min="15" max="15" width="42" hidden="0" customWidth="1"/>
    <x:col min="16" max="16" width="46" hidden="0" customWidth="1"/>
    <x:col min="17" max="17" width="38" hidden="0" customWidth="1"/>
    <x:col min="18" max="18" width="13" hidden="0" customWidth="1"/>
    <x:col min="19" max="19" width="11" hidden="0" customWidth="1"/>
    <x:col min="20" max="20" width="42" hidden="0" customWidth="1"/>
  </x:cols>
  <x:sheetData>
    <x:row r="1" ht="36" customHeight="1">
      <x:c r="A1" s="94" t="str">
        <x:v>Leverandører — research og kontaktoplysninger</x:v>
      </x:c>
      <x:c r="B1" s="94"/>
      <x:c r="C1" s="94"/>
      <x:c r="D1" s="94"/>
      <x:c r="E1" s="94"/>
      <x:c r="F1" s="94"/>
      <x:c r="G1" s="94"/>
      <x:c r="H1" s="94"/>
      <x:c r="I1" s="94"/>
      <x:c r="J1" s="94"/>
      <x:c r="K1" s="94"/>
      <x:c r="L1" s="94"/>
      <x:c r="M1" s="94"/>
      <x:c r="N1" s="94"/>
      <x:c r="O1" s="94"/>
      <x:c r="P1" s="94"/>
      <x:c r="Q1" s="94"/>
      <x:c r="R1" s="94"/>
      <x:c r="S1" s="94"/>
      <x:c r="T1" s="94"/>
    </x:row>
    <x:row r="2">
      <x:c r="A2" s="5" t="str">
        <x:v>Filtrér på kategori, prioritet, afstand og leveringsstatus. Alle afstande er omtrentlige pejlemærker fra Brejning.</x:v>
      </x:c>
      <x:c r="B2" s="5"/>
      <x:c r="C2" s="5"/>
      <x:c r="D2" s="5"/>
      <x:c r="E2" s="5"/>
      <x:c r="F2" s="5"/>
      <x:c r="G2" s="5"/>
      <x:c r="H2" s="5"/>
      <x:c r="I2" s="5"/>
      <x:c r="J2" s="5"/>
      <x:c r="K2" s="5"/>
      <x:c r="L2" s="5"/>
      <x:c r="M2" s="5"/>
      <x:c r="N2" s="5"/>
      <x:c r="O2" s="5"/>
      <x:c r="P2" s="5"/>
      <x:c r="Q2" s="5"/>
      <x:c r="R2" s="5"/>
      <x:c r="S2" s="5"/>
      <x:c r="T2" s="5"/>
    </x:row>
    <x:row r="4">
      <x:c r="A4" s="95" t="str">
        <x:v>Prioritet 1 = kontakt først · 2 = relevant supplement · 3 = benchmark eller situationsbestemt</x:v>
      </x:c>
      <x:c r="B4" s="95"/>
      <x:c r="C4" s="95"/>
      <x:c r="D4" s="95"/>
      <x:c r="E4" s="95"/>
      <x:c r="F4" s="95"/>
      <x:c r="G4" s="95"/>
      <x:c r="H4" s="95"/>
      <x:c r="I4" s="95"/>
      <x:c r="J4" s="95"/>
      <x:c r="K4" s="95"/>
      <x:c r="L4" s="95"/>
      <x:c r="M4" s="95"/>
      <x:c r="N4" s="95"/>
      <x:c r="O4" s="95"/>
      <x:c r="P4" s="95"/>
      <x:c r="Q4" s="95"/>
      <x:c r="R4" s="95"/>
      <x:c r="S4" s="95"/>
      <x:c r="T4" s="95"/>
    </x:row>
    <x:row r="5" ht="34" customHeight="1">
      <x:c r="A5" s="98" t="str">
        <x:v>Prioritet</x:v>
      </x:c>
      <x:c r="B5" s="98" t="str">
        <x:v>Rolle</x:v>
      </x:c>
      <x:c r="C5" s="98" t="str">
        <x:v>Leverandør</x:v>
      </x:c>
      <x:c r="D5" s="98" t="str">
        <x:v>Hovedkategori</x:v>
      </x:c>
      <x:c r="E5" s="98" t="str">
        <x:v>Sortiment / styrke</x:v>
      </x:c>
      <x:c r="F5" s="98" t="str">
        <x:v>Adresse</x:v>
      </x:c>
      <x:c r="G5" s="98" t="str">
        <x:v>Post / by</x:v>
      </x:c>
      <x:c r="H5" s="98" t="str">
        <x:v>Ca. km</x:v>
      </x:c>
      <x:c r="I5" s="98" t="str">
        <x:v>Afstandsnote</x:v>
      </x:c>
      <x:c r="J5" s="98" t="str">
        <x:v>Levering til 7080</x:v>
      </x:c>
      <x:c r="K5" s="98" t="str">
        <x:v>Adgang</x:v>
      </x:c>
      <x:c r="L5" s="98" t="str">
        <x:v>Telefon</x:v>
      </x:c>
      <x:c r="M5" s="98" t="str">
        <x:v>E-mail</x:v>
      </x:c>
      <x:c r="N5" s="98" t="str">
        <x:v>Website</x:v>
      </x:c>
      <x:c r="O5" s="98" t="str">
        <x:v>Anbefalet anvendelse</x:v>
      </x:c>
      <x:c r="P5" s="98" t="str">
        <x:v>Første spørgsmål</x:v>
      </x:c>
      <x:c r="Q5" s="98" t="str">
        <x:v>Kilde-URL</x:v>
      </x:c>
      <x:c r="R5" s="98" t="str">
        <x:v>Kontrolleret</x:v>
      </x:c>
      <x:c r="S5" s="98" t="str">
        <x:v>Sikkerhed</x:v>
      </x:c>
      <x:c r="T5" s="98" t="str">
        <x:v>Bemærkning</x:v>
      </x:c>
    </x:row>
    <x:row r="6" ht="70" customHeight="1">
      <x:c r="A6" s="103" t="n">
        <x:v>1</x:v>
      </x:c>
      <x:c r="B6" s="101" t="str">
        <x:v>Basis</x:v>
      </x:c>
      <x:c r="C6" s="101" t="str">
        <x:v>Dagrofa Foodservice</x:v>
      </x:c>
      <x:c r="D6" s="101" t="str">
        <x:v>Totalgrossist</x:v>
      </x:c>
      <x:c r="E6" s="101" t="str">
        <x:v>Mejeri, frost, kolonial, grønt, kød, fisk, nonfood; adgang til Prima Frugt, Grambogård og HKI Ost</x:v>
      </x:c>
      <x:c r="F6" s="101" t="str">
        <x:v>Langelandsvej 17</x:v>
      </x:c>
      <x:c r="G6" s="101" t="str">
        <x:v>5500 Middelfart</x:v>
      </x:c>
      <x:c r="H6" s="105" t="n">
        <x:v>33</x:v>
      </x:c>
      <x:c r="I6" s="101" t="str">
        <x:v>Terminal; ca. køreafstand</x:v>
      </x:c>
      <x:c r="J6" s="101" t="str">
        <x:v>Dokumenteret</x:v>
      </x:c>
      <x:c r="K6" s="101" t="str">
        <x:v>B2B-konto / levering og Cash &amp; Carry</x:v>
      </x:c>
      <x:c r="L6" s="101" t="str">
        <x:v>70 80 88 88</x:v>
      </x:c>
      <x:c r="M6" s="101" t="str">
        <x:v>kundeservice@dgfs.dk</x:v>
      </x:c>
      <x:c r="N6" s="101" t="str">
        <x:v>https://dgfs.dk/</x:v>
      </x:c>
      <x:c r="O6" s="101" t="str">
        <x:v>Behold som driftsrygrad til standardvarer og saml volumen</x:v>
      </x:c>
      <x:c r="P6" s="101" t="str">
        <x:v>Bed om Prima Frugt-sortiment, skaffevarer og en grøntgennemgang med sælger</x:v>
      </x:c>
      <x:c r="Q6" s="101" t="str">
        <x:v>https://www.dagrofa.dk/kontakt/kontakt-dagrofa-foodservice/</x:v>
      </x:c>
      <x:c r="R6" s="106" t="n">
        <x:v>46254</x:v>
      </x:c>
      <x:c r="S6" s="101" t="str">
        <x:v>Høj</x:v>
      </x:c>
      <x:c r="T6" s="101" t="str">
        <x:v>Eksisterende leverandør; sammenlign ikke kun med Cash &amp; Carry-hylden</x:v>
      </x:c>
    </x:row>
    <x:row r="7" ht="70" customHeight="1">
      <x:c r="A7" s="103" t="n">
        <x:v>3</x:v>
      </x:c>
      <x:c r="B7" s="101" t="str">
        <x:v>Alternativ basis</x:v>
      </x:c>
      <x:c r="C7" s="101" t="str">
        <x:v>Hørkram Foodservice</x:v>
      </x:c>
      <x:c r="D7" s="101" t="str">
        <x:v>Totalgrossist</x:v>
      </x:c>
      <x:c r="E7" s="101" t="str">
        <x:v>32.000+ varenumre; grønt, kolonial, kød/fisk og nonfood; egne opskæringer</x:v>
      </x:c>
      <x:c r="F7" s="101" t="str">
        <x:v>Torshøjvej 59</x:v>
      </x:c>
      <x:c r="G7" s="101" t="str">
        <x:v>8362 Hørning</x:v>
      </x:c>
      <x:c r="H7" s="105" t="n">
        <x:v>72</x:v>
      </x:c>
      <x:c r="I7" s="101" t="str">
        <x:v>Logistikcenter; ca. køreafstand</x:v>
      </x:c>
      <x:c r="J7" s="101" t="str">
        <x:v>Dokumenteret</x:v>
      </x:c>
      <x:c r="K7" s="101" t="str">
        <x:v>B2B-konto / landsdækkende levering</x:v>
      </x:c>
      <x:c r="L7" s="101" t="str">
        <x:v>86 92 72 00</x:v>
      </x:c>
      <x:c r="M7" s="101" t="str"/>
      <x:c r="N7" s="101" t="str">
        <x:v>https://www.hoka.dk/da-dk/</x:v>
      </x:c>
      <x:c r="O7" s="101" t="str">
        <x:v>Benchmark Dagrofa på pris, sortiment og leveringsvilkår</x:v>
      </x:c>
      <x:c r="P7" s="101" t="str">
        <x:v>Kan en konsulent vise lokale/særlige grøntvarer og leveringsdage til 7080?</x:v>
      </x:c>
      <x:c r="Q7" s="101" t="str">
        <x:v>https://www.hoka.dk/da-dk/sortiment</x:v>
      </x:c>
      <x:c r="R7" s="106" t="n">
        <x:v>46254</x:v>
      </x:c>
      <x:c r="S7" s="101" t="str">
        <x:v>Høj</x:v>
      </x:c>
      <x:c r="T7" s="101" t="str">
        <x:v>Relevant som sammenligningsgrundlag, ikke nødvendigvis som ekstra daglig leverandør</x:v>
      </x:c>
    </x:row>
    <x:row r="8" ht="70" customHeight="1">
      <x:c r="A8" s="103" t="n">
        <x:v>3</x:v>
      </x:c>
      <x:c r="B8" s="101" t="str">
        <x:v>Alternativ basis</x:v>
      </x:c>
      <x:c r="C8" s="101" t="str">
        <x:v>BC Catering Kolding</x:v>
      </x:c>
      <x:c r="D8" s="101" t="str">
        <x:v>Totalgrossist</x:v>
      </x:c>
      <x:c r="E8" s="101" t="str">
        <x:v>Bred foodservice; lokale leverandører, grønt, kolonial, fisk og slagtervarer</x:v>
      </x:c>
      <x:c r="F8" s="101" t="str">
        <x:v>Kokbjerg 28</x:v>
      </x:c>
      <x:c r="G8" s="101" t="str">
        <x:v>6000 Kolding</x:v>
      </x:c>
      <x:c r="H8" s="105" t="n">
        <x:v>39</x:v>
      </x:c>
      <x:c r="I8" s="101" t="str">
        <x:v>Afdeling; ca. køreafstand</x:v>
      </x:c>
      <x:c r="J8" s="101" t="str">
        <x:v>Skal bekræftes</x:v>
      </x:c>
      <x:c r="K8" s="101" t="str">
        <x:v>B2B-konto; handler ikke med private</x:v>
      </x:c>
      <x:c r="L8" s="101" t="str">
        <x:v>76 32 18 00</x:v>
      </x:c>
      <x:c r="M8" s="101" t="str">
        <x:v>info@bcck.dk</x:v>
      </x:c>
      <x:c r="N8" s="101" t="str">
        <x:v>https://bccatering.dk/</x:v>
      </x:c>
      <x:c r="O8" s="101" t="str">
        <x:v>Indhent et tredje totalgrossist-tilbud hvis Dagrofa skal udfordres</x:v>
      </x:c>
      <x:c r="P8" s="101" t="str">
        <x:v>Hvilke lokale varer og leveringsdage tilbyder Kolding-afdelingen til Brejning?</x:v>
      </x:c>
      <x:c r="Q8" s="101" t="str">
        <x:v>https://bccatering.dk/om-bc-catering/afdelinger/kolding/</x:v>
      </x:c>
      <x:c r="R8" s="106" t="n">
        <x:v>46254</x:v>
      </x:c>
      <x:c r="S8" s="101" t="str">
        <x:v>Høj</x:v>
      </x:c>
      <x:c r="T8" s="101" t="str">
        <x:v>Grønt kan bestilles sent dagen før; konkret rute skal aftales</x:v>
      </x:c>
    </x:row>
    <x:row r="9" ht="70" customHeight="1">
      <x:c r="A9" s="103" t="n">
        <x:v>1</x:v>
      </x:c>
      <x:c r="B9" s="101" t="str">
        <x:v>Grøn rygrad</x:v>
      </x:c>
      <x:c r="C9" s="101" t="str">
        <x:v>H &amp; P Frugtimport</x:v>
      </x:c>
      <x:c r="D9" s="101" t="str">
        <x:v>Grønt</x:v>
      </x:c>
      <x:c r="E9" s="101" t="str">
        <x:v>Professionel frugt- og grøntgrossist; direkte handel med danske gartnerier, økologi og specialvarer</x:v>
      </x:c>
      <x:c r="F9" s="101" t="str">
        <x:v>Vidtskuevej 20</x:v>
      </x:c>
      <x:c r="G9" s="101" t="str">
        <x:v>7100 Vejle</x:v>
      </x:c>
      <x:c r="H9" s="105" t="n">
        <x:v>18</x:v>
      </x:c>
      <x:c r="I9" s="101" t="str">
        <x:v>Ca. køreafstand</x:v>
      </x:c>
      <x:c r="J9" s="101" t="str">
        <x:v>Skal bekræftes</x:v>
      </x:c>
      <x:c r="K9" s="101" t="str">
        <x:v>B2B / webshop og salgsdialog</x:v>
      </x:c>
      <x:c r="L9" s="101" t="str">
        <x:v>76 42 57 00</x:v>
      </x:c>
      <x:c r="M9" s="101" t="str">
        <x:v>hp@hpfrugt.dk</x:v>
      </x:c>
      <x:c r="N9" s="101" t="str">
        <x:v>https://shop.hpfrugt.dk/</x:v>
      </x:c>
      <x:c r="O9" s="101" t="str">
        <x:v>Stabil basisgrønt plus sæson, urter, svampe og skaffevarer</x:v>
      </x:c>
      <x:c r="P9" s="101" t="str">
        <x:v>Kan I levere til 7080, hvad er minimum, dage og ugens bedste/særlige varer?</x:v>
      </x:c>
      <x:c r="Q9" s="101" t="str">
        <x:v>https://shop.hpfrugt.dk/</x:v>
      </x:c>
      <x:c r="R9" s="106" t="n">
        <x:v>46254</x:v>
      </x:c>
      <x:c r="S9" s="101" t="str">
        <x:v>Høj</x:v>
      </x:c>
      <x:c r="T9" s="101" t="str">
        <x:v>Den mest oplagte første samtale om en selvstændig grøntleverandør</x:v>
      </x:c>
    </x:row>
    <x:row r="10" ht="70" customHeight="1">
      <x:c r="A10" s="103" t="n">
        <x:v>1</x:v>
      </x:c>
      <x:c r="B10" s="101" t="str">
        <x:v>Specialist</x:v>
      </x:c>
      <x:c r="C10" s="101" t="str">
        <x:v>Gourmet Engros</x:v>
      </x:c>
      <x:c r="D10" s="101" t="str">
        <x:v>Kolonial</x:v>
      </x:c>
      <x:c r="E10" s="101" t="str">
        <x:v>Gourmetkolonial, caviar, fisk, kød, trøfler/svampe, urter, frugt/grønt, olie/eddike og dessertvarer</x:v>
      </x:c>
      <x:c r="F10" s="101" t="str">
        <x:v>H.C. Ørsteds Vej 10, Taulov</x:v>
      </x:c>
      <x:c r="G10" s="101" t="str">
        <x:v>7000 Fredericia</x:v>
      </x:c>
      <x:c r="H10" s="105" t="n">
        <x:v>25</x:v>
      </x:c>
      <x:c r="I10" s="101" t="str">
        <x:v>Ca. køreafstand</x:v>
      </x:c>
      <x:c r="J10" s="101" t="str">
        <x:v>Dokumenteret</x:v>
      </x:c>
      <x:c r="K10" s="101" t="str">
        <x:v>B2B og privat; fragt/pakke samt leverandørservice</x:v>
      </x:c>
      <x:c r="L10" s="101" t="str">
        <x:v>47 47 47 29</x:v>
      </x:c>
      <x:c r="M10" s="101" t="str">
        <x:v>info@gourmetengros.com</x:v>
      </x:c>
      <x:c r="N10" s="101" t="str">
        <x:v>https://gourmetengros.com/</x:v>
      </x:c>
      <x:c r="O10" s="101" t="str">
        <x:v>Periodiske ordrer til varer der tydeligt løfter menukortet</x:v>
      </x:c>
      <x:c r="P10" s="101" t="str">
        <x:v>Få B2B-vilkår, lokale leveringsmuligheder og en kurateret startliste til køkkenprofilen</x:v>
      </x:c>
      <x:c r="Q10" s="101" t="str">
        <x:v>https://gourmetengros.com/kontakt/</x:v>
      </x:c>
      <x:c r="R10" s="106" t="n">
        <x:v>46254</x:v>
      </x:c>
      <x:c r="S10" s="101" t="str">
        <x:v>Høj</x:v>
      </x:c>
      <x:c r="T10" s="101" t="str">
        <x:v>Meget tæt på; bør kontaktes tidligt, men er ikke en basisgrossist</x:v>
      </x:c>
    </x:row>
    <x:row r="11" ht="70" customHeight="1">
      <x:c r="A11" s="103" t="n">
        <x:v>1</x:v>
      </x:c>
      <x:c r="B11" s="101" t="str">
        <x:v>Lokal sæson</x:v>
      </x:c>
      <x:c r="C11" s="101" t="str">
        <x:v>Gartneriet Rødmose</x:v>
      </x:c>
      <x:c r="D11" s="101" t="str">
        <x:v>Grønt</x:v>
      </x:c>
      <x:c r="E11" s="101" t="str">
        <x:v>Biodynamisk/økologisk grønt; mange sorter, salater, kål, bønner, fennikel, glaskål, tomater og urter</x:v>
      </x:c>
      <x:c r="F11" s="101" t="str">
        <x:v>Rødmosevej 131, Tiufkær</x:v>
      </x:c>
      <x:c r="G11" s="101" t="str">
        <x:v>6052 Viuf</x:v>
      </x:c>
      <x:c r="H11" s="105" t="n">
        <x:v>31</x:v>
      </x:c>
      <x:c r="I11" s="101" t="str">
        <x:v>Ca. køreafstand</x:v>
      </x:c>
      <x:c r="J11" s="101" t="str">
        <x:v>Skal bekræftes</x:v>
      </x:c>
      <x:c r="K11" s="101" t="str">
        <x:v>Direkte køb / vejbod / mulig erhvervsaftale</x:v>
      </x:c>
      <x:c r="L11" s="101" t="str">
        <x:v>51 24 22 07</x:v>
      </x:c>
      <x:c r="M11" s="101" t="str"/>
      <x:c r="N11" s="101" t="str">
        <x:v>https://www.roedmose.dk/</x:v>
      </x:c>
      <x:c r="O11" s="101" t="str">
        <x:v>Sæsonvarer og sorter der kan forme dagens ret eller tilbehør</x:v>
      </x:c>
      <x:c r="P11" s="101" t="str">
        <x:v>Kan vi få ugentlig markliste, erhvervspriser og fast afhentning eller levering?</x:v>
      </x:c>
      <x:c r="Q11" s="101" t="str">
        <x:v>https://www.roedmose.dk/sortimentsliste/groentsager</x:v>
      </x:c>
      <x:c r="R11" s="106" t="n">
        <x:v>46254</x:v>
      </x:c>
      <x:c r="S11" s="101" t="str">
        <x:v>Høj</x:v>
      </x:c>
      <x:c r="T11" s="101" t="str">
        <x:v>Egen produktion i sæson; supplerer med indkøbt øko/biodynamisk sortiment</x:v>
      </x:c>
    </x:row>
    <x:row r="12" ht="70" customHeight="1">
      <x:c r="A12" s="103" t="n">
        <x:v>1</x:v>
      </x:c>
      <x:c r="B12" s="101" t="str">
        <x:v>Lokal special</x:v>
      </x:c>
      <x:c r="C12" s="101" t="str">
        <x:v>Det Lille Økori</x:v>
      </x:c>
      <x:c r="D12" s="101" t="str">
        <x:v>Grønt</x:v>
      </x:c>
      <x:c r="E12" s="101" t="str">
        <x:v>Økologisk mikrolandbrug med grøntsager, østershatte, krydderurter og mikrogrønt til restauranter og private</x:v>
      </x:c>
      <x:c r="F12" s="101" t="str">
        <x:v>Lystrupvej 16, Stenderup</x:v>
      </x:c>
      <x:c r="G12" s="101" t="str">
        <x:v>8781 Stenderup</x:v>
      </x:c>
      <x:c r="H12" s="105" t="n">
        <x:v>39</x:v>
      </x:c>
      <x:c r="I12" s="101" t="str">
        <x:v>Ca. køreafstand</x:v>
      </x:c>
      <x:c r="J12" s="101" t="str">
        <x:v>Sandsynlig</x:v>
      </x:c>
      <x:c r="K12" s="101" t="str">
        <x:v>Direkte relation; gårdbutik og restaurationssalg</x:v>
      </x:c>
      <x:c r="L12" s="101" t="str">
        <x:v>52 40 02 26</x:v>
      </x:c>
      <x:c r="M12" s="101" t="str">
        <x:v>detlilleokori@gmail.com</x:v>
      </x:c>
      <x:c r="N12" s="101" t="str">
        <x:v>https://detlilleoekori.dk/</x:v>
      </x:c>
      <x:c r="O12" s="101" t="str">
        <x:v>Små mængder ultrafrisk sæsongrønt, svampe og urter med høj identitet</x:v>
      </x:c>
      <x:c r="P12" s="101" t="str">
        <x:v>Kan vi få ugentlig tilgængelighedsliste og levering/afhentning til et professionelt køkken?</x:v>
      </x:c>
      <x:c r="Q12" s="101" t="str">
        <x:v>https://detlilleoekori.dk/</x:v>
      </x:c>
      <x:c r="R12" s="106" t="n">
        <x:v>46254</x:v>
      </x:c>
      <x:c r="S12" s="101" t="str">
        <x:v>Høj</x:v>
      </x:c>
      <x:c r="T12" s="101" t="str">
        <x:v>Kapacitet og kontinuitet skal afstemmes; bedst som karakterleverandør</x:v>
      </x:c>
    </x:row>
    <x:row r="13" ht="70" customHeight="1">
      <x:c r="A13" s="103" t="n">
        <x:v>1</x:v>
      </x:c>
      <x:c r="B13" s="101" t="str">
        <x:v>Øko samlet</x:v>
      </x:c>
      <x:c r="C13" s="101" t="str">
        <x:v>Aarstiderne Engros</x:v>
      </x:c>
      <x:c r="D13" s="101" t="str">
        <x:v>Grønt</x:v>
      </x:c>
      <x:c r="E13" s="101" t="str">
        <x:v>Økologisk grønt, frugt, kolonial, mejeri, køl og frost til professionelle køkkener</x:v>
      </x:c>
      <x:c r="F13" s="101" t="str">
        <x:v>Barritskovvej 34</x:v>
      </x:c>
      <x:c r="G13" s="101" t="str">
        <x:v>7150 Barrit</x:v>
      </x:c>
      <x:c r="H13" s="105" t="n">
        <x:v>50</x:v>
      </x:c>
      <x:c r="I13" s="101" t="str">
        <x:v>Ca. køreafstand til base</x:v>
      </x:c>
      <x:c r="J13" s="101" t="str">
        <x:v>Dokumenteret</x:v>
      </x:c>
      <x:c r="K13" s="101" t="str">
        <x:v>B2B-konto; levering i hele brofaste Danmark</x:v>
      </x:c>
      <x:c r="L13" s="101" t="str">
        <x:v>70 26 00 32</x:v>
      </x:c>
      <x:c r="M13" s="101" t="str">
        <x:v>engros@aarstiderne.com</x:v>
      </x:c>
      <x:c r="N13" s="101" t="str">
        <x:v>https://engros.aarstiderne.com/</x:v>
      </x:c>
      <x:c r="O13" s="101" t="str">
        <x:v>Stærkt samlet øko-alternativ med bredde nok til at reducere antal leverandører</x:v>
      </x:c>
      <x:c r="P13" s="101" t="str">
        <x:v>Hvilke leveringsdage og intervaller gælder 7080, og hvad er aktuelt minimum/fragt?</x:v>
      </x:c>
      <x:c r="Q13" s="101" t="str">
        <x:v>https://engros.aarstiderne.com/praktiske-oplysninger/forretningsbetingelser/</x:v>
      </x:c>
      <x:c r="R13" s="106" t="n">
        <x:v>46254</x:v>
      </x:c>
      <x:c r="S13" s="101" t="str">
        <x:v>Høj</x:v>
      </x:c>
      <x:c r="T13" s="101" t="str">
        <x:v>Offentlige vilkår angiver minimum 1.400 kr. og fragtfri over 2.500 kr. ekskl. moms</x:v>
      </x:c>
    </x:row>
    <x:row r="14" ht="70" customHeight="1">
      <x:c r="A14" s="103" t="n">
        <x:v>2</x:v>
      </x:c>
      <x:c r="B14" s="101" t="str">
        <x:v>Grønt specialist</x:v>
      </x:c>
      <x:c r="C14" s="101" t="str">
        <x:v>Århus Frugt og Grønt Engros</x:v>
      </x:c>
      <x:c r="D14" s="101" t="str">
        <x:v>Grønt</x:v>
      </x:c>
      <x:c r="E14" s="101" t="str">
        <x:v>Restaurantorienteret grønt med bredt sortiment, spirer/cress, specialsorter, svampe og friske varer</x:v>
      </x:c>
      <x:c r="F14" s="101" t="str">
        <x:v>Beta 2, Søften</x:v>
      </x:c>
      <x:c r="G14" s="101" t="str">
        <x:v>8382 Hinnerup</x:v>
      </x:c>
      <x:c r="H14" s="105" t="n">
        <x:v>93</x:v>
      </x:c>
      <x:c r="I14" s="101" t="str">
        <x:v>Ca. køreafstand</x:v>
      </x:c>
      <x:c r="J14" s="101" t="str">
        <x:v>Skal bekræftes</x:v>
      </x:c>
      <x:c r="K14" s="101" t="str">
        <x:v>B2B; webshop/bestilling</x:v>
      </x:c>
      <x:c r="L14" s="101" t="str">
        <x:v>86 91 00 13</x:v>
      </x:c>
      <x:c r="M14" s="101" t="str">
        <x:v>aafg@aafg.dk</x:v>
      </x:c>
      <x:c r="N14" s="101" t="str">
        <x:v>https://aafg.dk/</x:v>
      </x:c>
      <x:c r="O14" s="101" t="str">
        <x:v>Backup eller specialgrønt hvis ruten når Trekantområdet</x:v>
      </x:c>
      <x:c r="P14" s="101" t="str">
        <x:v>Kører I til 7080, og hvad kræver det af ordrestørrelse eller fast ugedag?</x:v>
      </x:c>
      <x:c r="Q14" s="101" t="str">
        <x:v>https://aafg.dk/Default?P=Kontakt</x:v>
      </x:c>
      <x:c r="R14" s="106" t="n">
        <x:v>46254</x:v>
      </x:c>
      <x:c r="S14" s="101" t="str">
        <x:v>Høj</x:v>
      </x:c>
      <x:c r="T14" s="101" t="str">
        <x:v>Sortimentet er interessant; geografien er den afgørende usikkerhed</x:v>
      </x:c>
    </x:row>
    <x:row r="15" ht="70" customHeight="1">
      <x:c r="A15" s="103" t="n">
        <x:v>3</x:v>
      </x:c>
      <x:c r="B15" s="101" t="str">
        <x:v>Grønt alternativ</x:v>
      </x:c>
      <x:c r="C15" s="101" t="str">
        <x:v>K.H. Frugt</x:v>
      </x:c>
      <x:c r="D15" s="101" t="str">
        <x:v>Grønt</x:v>
      </x:c>
      <x:c r="E15" s="101" t="str">
        <x:v>Klassisk frugt- og grøntengros med konventionelt og økologisk sortiment</x:v>
      </x:c>
      <x:c r="F15" s="101" t="str">
        <x:v>Blomstervej 66B</x:v>
      </x:c>
      <x:c r="G15" s="101" t="str">
        <x:v>8381 Tilst</x:v>
      </x:c>
      <x:c r="H15" s="105" t="n">
        <x:v>84</x:v>
      </x:c>
      <x:c r="I15" s="101" t="str">
        <x:v>Ca. køreafstand</x:v>
      </x:c>
      <x:c r="J15" s="101" t="str">
        <x:v>Skal bekræftes</x:v>
      </x:c>
      <x:c r="K15" s="101" t="str">
        <x:v>B2B / direkte henvendelse</x:v>
      </x:c>
      <x:c r="L15" s="101" t="str">
        <x:v>86 24 15 13</x:v>
      </x:c>
      <x:c r="M15" s="101" t="str"/>
      <x:c r="N15" s="101" t="str"/>
      <x:c r="O15" s="101" t="str">
        <x:v>Alternativ grøntgrossist til tilbud eller særlige varer</x:v>
      </x:c>
      <x:c r="P15" s="101" t="str">
        <x:v>Har I rute til 7080 og kan I sende sortiments-/prisliste?</x:v>
      </x:c>
      <x:c r="Q15" s="101" t="str">
        <x:v>https://www.krak.dk/k.h.%2Bfrugt%2Ba%2Fs%2Btilst/66052384/firma</x:v>
      </x:c>
      <x:c r="R15" s="106" t="n">
        <x:v>46254</x:v>
      </x:c>
      <x:c r="S15" s="101" t="str">
        <x:v>Mellem</x:v>
      </x:c>
      <x:c r="T15" s="101" t="str">
        <x:v>Aktiv virksomhed; begrænset offentlig information og ingen sikker offentlig e-mail</x:v>
      </x:c>
    </x:row>
    <x:row r="16" ht="70" customHeight="1">
      <x:c r="A16" s="103" t="n">
        <x:v>2</x:v>
      </x:c>
      <x:c r="B16" s="101" t="str">
        <x:v>Urter/mikrogrønt</x:v>
      </x:c>
      <x:c r="C16" s="101" t="str">
        <x:v>Chefs Garden</x:v>
      </x:c>
      <x:c r="D16" s="101" t="str">
        <x:v>Grønt</x:v>
      </x:c>
      <x:c r="E16" s="101" t="str">
        <x:v>Restaurantorienterede urter, mikrogrønt og dyrkning efter aftale; drevet med kokkefaglig baggrund</x:v>
      </x:c>
      <x:c r="F16" s="101" t="str">
        <x:v>Svanlevvej 5</x:v>
      </x:c>
      <x:c r="G16" s="101" t="str">
        <x:v>8361 Hasselager</x:v>
      </x:c>
      <x:c r="H16" s="105" t="n">
        <x:v>77</x:v>
      </x:c>
      <x:c r="I16" s="101" t="str">
        <x:v>Ca. køreafstand</x:v>
      </x:c>
      <x:c r="J16" s="101" t="str">
        <x:v>Skal bekræftes</x:v>
      </x:c>
      <x:c r="K16" s="101" t="str">
        <x:v>Direkte aftale / gårdbutik</x:v>
      </x:c>
      <x:c r="L16" s="101" t="str">
        <x:v>40 35 12 44</x:v>
      </x:c>
      <x:c r="M16" s="101" t="str">
        <x:v>kontakt@chefsgarden.dk</x:v>
      </x:c>
      <x:c r="N16" s="101" t="str">
        <x:v>https://chefsgarden.dk/</x:v>
      </x:c>
      <x:c r="O16" s="101" t="str">
        <x:v>Brug kun hvis urter/skud løser et konkret menubehov</x:v>
      </x:c>
      <x:c r="P16" s="101" t="str">
        <x:v>Kan I dyrke 3-5 faste arter til os, og hvad er minimum samt fast leveringsdag?</x:v>
      </x:c>
      <x:c r="Q16" s="101" t="str">
        <x:v>https://chefsgarden.dk/chefs-garden-living</x:v>
      </x:c>
      <x:c r="R16" s="106" t="n">
        <x:v>46254</x:v>
      </x:c>
      <x:c r="S16" s="101" t="str">
        <x:v>Høj</x:v>
      </x:c>
      <x:c r="T16" s="101" t="str">
        <x:v>Prioritér hele urter og funktionelle skud frem for ren pynt</x:v>
      </x:c>
    </x:row>
    <x:row r="17" ht="70" customHeight="1">
      <x:c r="A17" s="103" t="n">
        <x:v>2</x:v>
      </x:c>
      <x:c r="B17" s="101" t="str">
        <x:v>Sæson/kartoffel</x:v>
      </x:c>
      <x:c r="C17" s="101" t="str">
        <x:v>Samsø Grønt</x:v>
      </x:c>
      <x:c r="D17" s="101" t="str">
        <x:v>Grønt</x:v>
      </x:c>
      <x:c r="E17" s="101" t="str">
        <x:v>Samsø-kartofler og grøntsager; pakke- og distributionscentral for øens avlere</x:v>
      </x:c>
      <x:c r="F17" s="101" t="str">
        <x:v>Industrivej 10</x:v>
      </x:c>
      <x:c r="G17" s="101" t="str">
        <x:v>8305 Samsø</x:v>
      </x:c>
      <x:c r="H17" s="105" t="n">
        <x:v>135</x:v>
      </x:c>
      <x:c r="I17" s="101" t="str">
        <x:v>Ca. vej/færge; kun pejlemærke</x:v>
      </x:c>
      <x:c r="J17" s="101" t="str">
        <x:v>Skal bekræftes</x:v>
      </x:c>
      <x:c r="K17" s="101" t="str">
        <x:v>Direkte B2B; distribution findes, men restaurantvilkår skal afklares</x:v>
      </x:c>
      <x:c r="L17" s="101" t="str">
        <x:v>86 59 30 77</x:v>
      </x:c>
      <x:c r="M17" s="101" t="str">
        <x:v>info@samsoegroent.dk</x:v>
      </x:c>
      <x:c r="N17" s="101" t="str">
        <x:v>http://www.samsoegroent.dk/</x:v>
      </x:c>
      <x:c r="O17" s="101" t="str">
        <x:v>Sæsonkøb af nye kartofler og udvalgte Samsø-grøntsager</x:v>
      </x:c>
      <x:c r="P17" s="101" t="str">
        <x:v>Sælger I direkte til små restaurationskunder i Jylland, eller gennem hvilken grossist?</x:v>
      </x:c>
      <x:c r="Q17" s="101" t="str">
        <x:v>https://www.proff.dk/firma/sams%C3%B8-gr%C3%B8nt-as/sams%C3%B8/pakketjenester/GJLJ7II034S</x:v>
      </x:c>
      <x:c r="R17" s="106" t="n">
        <x:v>46254</x:v>
      </x:c>
      <x:c r="S17" s="101" t="str">
        <x:v>Mellem</x:v>
      </x:c>
      <x:c r="T17" s="101" t="str">
        <x:v>Virksomheden er aktiv; hjemmeside og direkte kontaktoplysninger bør genbekræftes</x:v>
      </x:c>
    </x:row>
    <x:row r="18" ht="70" customHeight="1">
      <x:c r="A18" s="103" t="n">
        <x:v>1</x:v>
      </x:c>
      <x:c r="B18" s="101" t="str">
        <x:v>Øko kolonial</x:v>
      </x:c>
      <x:c r="C18" s="101" t="str">
        <x:v>Biogan</x:v>
      </x:c>
      <x:c r="D18" s="101" t="str">
        <x:v>Kolonial</x:v>
      </x:c>
      <x:c r="E18" s="101" t="str">
        <x:v>600+ økologiske varer; korn, bælgfrugter, nødder, frø, tahin, krydderier og storpak til storkøkken</x:v>
      </x:c>
      <x:c r="F18" s="101" t="str">
        <x:v>Møgelbakken 3-5</x:v>
      </x:c>
      <x:c r="G18" s="101" t="str">
        <x:v>8520 Lystrup</x:v>
      </x:c>
      <x:c r="H18" s="105" t="n">
        <x:v>99</x:v>
      </x:c>
      <x:c r="I18" s="101" t="str">
        <x:v>Ca. køreafstand</x:v>
      </x:c>
      <x:c r="J18" s="101" t="str">
        <x:v>Skal bekræftes</x:v>
      </x:c>
      <x:c r="K18" s="101" t="str">
        <x:v>B2B-formular for storkøkkener</x:v>
      </x:c>
      <x:c r="L18" s="101" t="str">
        <x:v>86 74 07 71</x:v>
      </x:c>
      <x:c r="M18" s="101" t="str">
        <x:v>kontor@biogan.dk</x:v>
      </x:c>
      <x:c r="N18" s="101" t="str">
        <x:v>https://biogan.dk/</x:v>
      </x:c>
      <x:c r="O18" s="101" t="str">
        <x:v>Økologiske tørvarer og storpak, især når Dagrofas udvalg/pris ikke er stærkt</x:v>
      </x:c>
      <x:c r="P18" s="101" t="str">
        <x:v>Bed om storkøkkenkatalog, minimumsordre, fragt og skaffevarer til 7080</x:v>
      </x:c>
      <x:c r="Q18" s="101" t="str">
        <x:v>https://biogan.dk/kontakt/</x:v>
      </x:c>
      <x:c r="R18" s="106" t="n">
        <x:v>46254</x:v>
      </x:c>
      <x:c r="S18" s="101" t="str">
        <x:v>Høj</x:v>
      </x:c>
      <x:c r="T18" s="101" t="str">
        <x:v>God til planlagte lagerordrer; mindre egnet til spontane småkøb</x:v>
      </x:c>
    </x:row>
    <x:row r="19" ht="70" customHeight="1">
      <x:c r="A19" s="103" t="n">
        <x:v>1</x:v>
      </x:c>
      <x:c r="B19" s="101" t="str">
        <x:v>International kolonial</x:v>
      </x:c>
      <x:c r="C19" s="101" t="str">
        <x:v>Megafood</x:v>
      </x:c>
      <x:c r="D19" s="101" t="str">
        <x:v>Kolonial</x:v>
      </x:c>
      <x:c r="E19" s="101" t="str">
        <x:v>2.500+ varer fra Asien, Mellemøsten og Balkan; bælgfrugter, tahin, nødder, krydderier, ris, sylt og saucer</x:v>
      </x:c>
      <x:c r="F19" s="101" t="str">
        <x:v>Sintrupvej 30-32</x:v>
      </x:c>
      <x:c r="G19" s="101" t="str">
        <x:v>8220 Brabrand</x:v>
      </x:c>
      <x:c r="H19" s="105" t="n">
        <x:v>82</x:v>
      </x:c>
      <x:c r="I19" s="101" t="str">
        <x:v>Ca. køreafstand</x:v>
      </x:c>
      <x:c r="J19" s="101" t="str">
        <x:v>Skal bekræftes</x:v>
      </x:c>
      <x:c r="K19" s="101" t="str">
        <x:v>B2B og Cash &amp; Carry</x:v>
      </x:c>
      <x:c r="L19" s="101" t="str">
        <x:v>86 15 34 33</x:v>
      </x:c>
      <x:c r="M19" s="101" t="str">
        <x:v>info@megafood.dk</x:v>
      </x:c>
      <x:c r="N19" s="101" t="str">
        <x:v>https://megafood.dk/</x:v>
      </x:c>
      <x:c r="O19" s="101" t="str">
        <x:v>Inspirationstur og prisstærk forsyning til levantinsk/asiatisk kolonial</x:v>
      </x:c>
      <x:c r="P19" s="101" t="str">
        <x:v>Leverer I til 7080, og hvilke foodservice-formater kan købes direkte i Brabrand?</x:v>
      </x:c>
      <x:c r="Q19" s="101" t="str">
        <x:v>https://megafood.dk/</x:v>
      </x:c>
      <x:c r="R19" s="106" t="n">
        <x:v>46254</x:v>
      </x:c>
      <x:c r="S19" s="101" t="str">
        <x:v>Høj</x:v>
      </x:c>
      <x:c r="T19" s="101" t="str">
        <x:v>Cash &amp; Carry gør et fysisk sortimentstjek oplagt</x:v>
      </x:c>
    </x:row>
    <x:row r="20" ht="70" customHeight="1">
      <x:c r="A20" s="103" t="n">
        <x:v>1</x:v>
      </x:c>
      <x:c r="B20" s="101" t="str">
        <x:v>Sydeuropæisk kolonial</x:v>
      </x:c>
      <x:c r="C20" s="101" t="str">
        <x:v>Gastro Import</x:v>
      </x:c>
      <x:c r="D20" s="101" t="str">
        <x:v>Kolonial</x:v>
      </x:c>
      <x:c r="E20" s="101" t="str">
        <x:v>Premiumvarer fra Italien, Spanien og Frankrig: olie, eddike, oliven, konserves, ost, charcuteri og fisk</x:v>
      </x:c>
      <x:c r="F20" s="101" t="str">
        <x:v>Kanalholmen 19</x:v>
      </x:c>
      <x:c r="G20" s="101" t="str">
        <x:v>2650 Hvidovre</x:v>
      </x:c>
      <x:c r="H20" s="105" t="n">
        <x:v>245</x:v>
      </x:c>
      <x:c r="I20" s="101" t="str">
        <x:v>Leverandørbase; ca. køreafstand</x:v>
      </x:c>
      <x:c r="J20" s="101" t="str">
        <x:v>Dokumenteret</x:v>
      </x:c>
      <x:c r="K20" s="101" t="str">
        <x:v>B2B-konto; faste Jyllandsleveringer</x:v>
      </x:c>
      <x:c r="L20" s="101" t="str">
        <x:v>48 47 55 11</x:v>
      </x:c>
      <x:c r="M20" s="101" t="str">
        <x:v>dialog@gastro-import.com</x:v>
      </x:c>
      <x:c r="N20" s="101" t="str">
        <x:v>https://www.gastro-import.dk/</x:v>
      </x:c>
      <x:c r="O20" s="101" t="str">
        <x:v>Planlagt specialordre hver 2.-4. uge til olie, eddike, konserves og delikatesser</x:v>
      </x:c>
      <x:c r="P20" s="101" t="str">
        <x:v>Hvilken Jyllandsdag gælder 7080, og kan en sælger foreslå en fokuseret startordre?</x:v>
      </x:c>
      <x:c r="Q20" s="101" t="str">
        <x:v>https://www.gastro-import.dk/</x:v>
      </x:c>
      <x:c r="R20" s="106" t="n">
        <x:v>46254</x:v>
      </x:c>
      <x:c r="S20" s="101" t="str">
        <x:v>Høj</x:v>
      </x:c>
      <x:c r="T20" s="101" t="str">
        <x:v>Offentlig info: Jylland torsdag/fredag; fragtfri over 3.000 kr., ellers 500 kr. ekskl. moms</x:v>
      </x:c>
    </x:row>
    <x:row r="21" ht="70" customHeight="1">
      <x:c r="A21" s="103" t="n">
        <x:v>2</x:v>
      </x:c>
      <x:c r="B21" s="101" t="str">
        <x:v>Olivenolie</x:v>
      </x:c>
      <x:c r="C21" s="101" t="str">
        <x:v>Græske Specialiteter</x:v>
      </x:c>
      <x:c r="D21" s="101" t="str">
        <x:v>Kolonial</x:v>
      </x:c>
      <x:c r="E21" s="101" t="str">
        <x:v>Økologiske og biodynamiske græske olivenolier samt udvalgte specialiteter</x:v>
      </x:c>
      <x:c r="F21" s="101" t="str">
        <x:v>Danmarksvej 30F</x:v>
      </x:c>
      <x:c r="G21" s="101" t="str">
        <x:v>8660 Skanderborg</x:v>
      </x:c>
      <x:c r="H21" s="105" t="n">
        <x:v>68</x:v>
      </x:c>
      <x:c r="I21" s="101" t="str">
        <x:v>Ca. køreafstand</x:v>
      </x:c>
      <x:c r="J21" s="101" t="str">
        <x:v>Skal bekræftes</x:v>
      </x:c>
      <x:c r="K21" s="101" t="str">
        <x:v>Direkte køb / efter aftale</x:v>
      </x:c>
      <x:c r="L21" s="101" t="str">
        <x:v>42 75 99 31</x:v>
      </x:c>
      <x:c r="M21" s="101" t="str">
        <x:v>dorte@graeskespecialiteter.dk</x:v>
      </x:c>
      <x:c r="N21" s="101" t="str">
        <x:v>https://graeskespecialiteter.dk/</x:v>
      </x:c>
      <x:c r="O21" s="101" t="str">
        <x:v>Kilde til karakterfuld olie, hvis én signaturolie skal være gennemgående</x:v>
      </x:c>
      <x:c r="P21" s="101" t="str">
        <x:v>Har I engrospriser, store formater og levering eller samlet afhentning?</x:v>
      </x:c>
      <x:c r="Q21" s="101" t="str">
        <x:v>https://graeskespecialiteter.dk/shop/</x:v>
      </x:c>
      <x:c r="R21" s="106" t="n">
        <x:v>46254</x:v>
      </x:c>
      <x:c r="S21" s="101" t="str">
        <x:v>Høj</x:v>
      </x:c>
      <x:c r="T21" s="101" t="str">
        <x:v>Smal leverandør; skal kun tilføjes hvis olien kan mærkes på tallerkenen</x:v>
      </x:c>
    </x:row>
    <x:row r="22" ht="70" customHeight="1">
      <x:c r="A22" s="103" t="n">
        <x:v>2</x:v>
      </x:c>
      <x:c r="B22" s="101" t="str">
        <x:v>Umami/fond</x:v>
      </x:c>
      <x:c r="C22" s="101" t="str">
        <x:v>REDUCED</x:v>
      </x:c>
      <x:c r="D22" s="101" t="str">
        <x:v>Smagsgivere</x:v>
      </x:c>
      <x:c r="E22" s="101" t="str">
        <x:v>Danske fonder, koncentrater og fermenterede umamisaucer af sidestrømme; foodservice-fokus</x:v>
      </x:c>
      <x:c r="F22" s="101" t="str">
        <x:v>Kattegatvej 45</x:v>
      </x:c>
      <x:c r="G22" s="101" t="str">
        <x:v>2150 Nordhavn</x:v>
      </x:c>
      <x:c r="H22" s="105" t="n">
        <x:v>250</x:v>
      </x:c>
      <x:c r="I22" s="101" t="str">
        <x:v>Leverandørbase; ca. køreafstand</x:v>
      </x:c>
      <x:c r="J22" s="101" t="str">
        <x:v>Dokumenteret</x:v>
      </x:c>
      <x:c r="K22" s="101" t="str">
        <x:v>Foodservice-salg og vareforsendelse</x:v>
      </x:c>
      <x:c r="L22" s="101" t="str">
        <x:v>30 91 48 05</x:v>
      </x:c>
      <x:c r="M22" s="101" t="str">
        <x:v>charlotte@reduced.dk</x:v>
      </x:c>
      <x:c r="N22" s="101" t="str">
        <x:v>https://reduced.dk/</x:v>
      </x:c>
      <x:c r="O22" s="101" t="str">
        <x:v>Kontrolleret genvej til dybde i grøntsagsretter, supper og saucer</x:v>
      </x:c>
      <x:c r="P22" s="101" t="str">
        <x:v>Bed om prøver, foodservice-priser, dosering og leveringsmodel til 7080</x:v>
      </x:c>
      <x:c r="Q22" s="101" t="str">
        <x:v>https://reduced.dk/pages/contact</x:v>
      </x:c>
      <x:c r="R22" s="106" t="n">
        <x:v>46254</x:v>
      </x:c>
      <x:c r="S22" s="101" t="str">
        <x:v>Høj</x:v>
      </x:c>
      <x:c r="T22" s="101" t="str">
        <x:v>Matcher køkkenets interesse for små, effektive umami-boostere</x:v>
      </x:c>
    </x:row>
    <x:row r="23" ht="70" customHeight="1">
      <x:c r="A23" s="103" t="n">
        <x:v>2</x:v>
      </x:c>
      <x:c r="B23" s="101" t="str">
        <x:v>Ost/charcuteri</x:v>
      </x:c>
      <x:c r="C23" s="101" t="str">
        <x:v>GRAND fromage</x:v>
      </x:c>
      <x:c r="D23" s="101" t="str">
        <x:v>Ost/mejeri</x:v>
      </x:c>
      <x:c r="E23" s="101" t="str">
        <x:v>Affinerede oste, charcuteri og delikatesser; sparring om udvalg og modningsgrader</x:v>
      </x:c>
      <x:c r="F23" s="101" t="str">
        <x:v>Erhvervsparken Klank 19</x:v>
      </x:c>
      <x:c r="G23" s="101" t="str">
        <x:v>8464 Galten</x:v>
      </x:c>
      <x:c r="H23" s="105" t="n">
        <x:v>71</x:v>
      </x:c>
      <x:c r="I23" s="101" t="str">
        <x:v>Ca. køreafstand</x:v>
      </x:c>
      <x:c r="J23" s="101" t="str">
        <x:v>Sandsynlig</x:v>
      </x:c>
      <x:c r="K23" s="101" t="str">
        <x:v>Engros / restaurantkonsulent</x:v>
      </x:c>
      <x:c r="L23" s="101" t="str">
        <x:v>86 13 13 03</x:v>
      </x:c>
      <x:c r="M23" s="101" t="str">
        <x:v>admin@grand-fromage.dk</x:v>
      </x:c>
      <x:c r="N23" s="101" t="str">
        <x:v>https://grand-fromage.dk/</x:v>
      </x:c>
      <x:c r="O23" s="101" t="str">
        <x:v>Periodisk ost, salatost og charcuteri med tydelig kvalitet og rådgivning</x:v>
      </x:c>
      <x:c r="P23" s="101" t="str">
        <x:v>Kontakt Brian for Jylland/Fyn om leveringsdag, minimum og et lille kernesortiment</x:v>
      </x:c>
      <x:c r="Q23" s="101" t="str">
        <x:v>https://grand-fromage.dk/engros/</x:v>
      </x:c>
      <x:c r="R23" s="106" t="n">
        <x:v>46254</x:v>
      </x:c>
      <x:c r="S23" s="101" t="str">
        <x:v>Høj</x:v>
      </x:c>
      <x:c r="T23" s="101" t="str">
        <x:v>Jylland/Fyn-konsulent: Brian Pedersen, 20 19 83 03</x:v>
      </x:c>
    </x:row>
    <x:row r="24" ht="70" customHeight="1">
      <x:c r="A24" s="103" t="n">
        <x:v>3</x:v>
      </x:c>
      <x:c r="B24" s="101" t="str">
        <x:v>Lokal ost</x:v>
      </x:c>
      <x:c r="C24" s="101" t="str">
        <x:v>Osteriet Vejle</x:v>
      </x:c>
      <x:c r="D24" s="101" t="str">
        <x:v>Ost/mejeri</x:v>
      </x:c>
      <x:c r="E24" s="101" t="str">
        <x:v>Specialoste fra Danmark og Europa samt charcuteri og delikatesser</x:v>
      </x:c>
      <x:c r="F24" s="101" t="str">
        <x:v>Søndertorv 10</x:v>
      </x:c>
      <x:c r="G24" s="101" t="str">
        <x:v>7100 Vejle</x:v>
      </x:c>
      <x:c r="H24" s="105" t="n">
        <x:v>17</x:v>
      </x:c>
      <x:c r="I24" s="101" t="str">
        <x:v>Ca. køreafstand</x:v>
      </x:c>
      <x:c r="J24" s="101" t="str">
        <x:v>Afhentning</x:v>
      </x:c>
      <x:c r="K24" s="101" t="str">
        <x:v>Butik; erhvervsaftale ikke dokumenteret</x:v>
      </x:c>
      <x:c r="L24" s="101" t="str">
        <x:v>76 70 60 90</x:v>
      </x:c>
      <x:c r="M24" s="101" t="str">
        <x:v>kit@osteriet-vejle.dk</x:v>
      </x:c>
      <x:c r="N24" s="101" t="str">
        <x:v>https://osteriet-vejle.dk/</x:v>
      </x:c>
      <x:c r="O24" s="101" t="str">
        <x:v>Lokal smagning, nødindkøb og små mængder før en menu sættes</x:v>
      </x:c>
      <x:c r="P24" s="101" t="str">
        <x:v>Kan I lave erhvervspriser eller faste afhentningsordrer til et mindre køkken?</x:v>
      </x:c>
      <x:c r="Q24" s="101" t="str">
        <x:v>https://osteriet-vejle.dk/om-osteriet/</x:v>
      </x:c>
      <x:c r="R24" s="106" t="n">
        <x:v>46254</x:v>
      </x:c>
      <x:c r="S24" s="101" t="str">
        <x:v>Høj</x:v>
      </x:c>
      <x:c r="T24" s="101" t="str">
        <x:v>Ikke dokumenteret som grossist; nyttig som lokal faglig sparringspartner</x:v>
      </x:c>
    </x:row>
    <x:row r="25" ht="70" customHeight="1">
      <x:c r="A25" s="103" t="n">
        <x:v>2</x:v>
      </x:c>
      <x:c r="B25" s="101" t="str">
        <x:v>Fisk</x:v>
      </x:c>
      <x:c r="C25" s="101" t="str">
        <x:v>Neptun Seafood Engros</x:v>
      </x:c>
      <x:c r="D25" s="101" t="str">
        <x:v>Fisk</x:v>
      </x:c>
      <x:c r="E25" s="101" t="str">
        <x:v>Fersk fisk, skaldyr, vildt og specialiteter; pakkeri i Fredericia og landsdækkende køleruter</x:v>
      </x:c>
      <x:c r="F25" s="101" t="str">
        <x:v>Vejlelandevej 29A</x:v>
      </x:c>
      <x:c r="G25" s="101" t="str">
        <x:v>7000 Fredericia</x:v>
      </x:c>
      <x:c r="H25" s="105" t="n">
        <x:v>22</x:v>
      </x:c>
      <x:c r="I25" s="101" t="str">
        <x:v>Pakkeri; ca. køreafstand</x:v>
      </x:c>
      <x:c r="J25" s="101" t="str">
        <x:v>Dokumenteret</x:v>
      </x:c>
      <x:c r="K25" s="101" t="str">
        <x:v>B2B; landsdækkende levering</x:v>
      </x:c>
      <x:c r="L25" s="101" t="str">
        <x:v>70 20 88 88</x:v>
      </x:c>
      <x:c r="M25" s="101" t="str">
        <x:v>salg@neptunseafood.dk</x:v>
      </x:c>
      <x:c r="N25" s="101" t="str">
        <x:v>https://neptunseafood.dk/</x:v>
      </x:c>
      <x:c r="O25" s="101" t="str">
        <x:v>Frisk fisk/skaldyr som særskilt kvalitetsben i et fremtidigt menukort</x:v>
      </x:c>
      <x:c r="P25" s="101" t="str">
        <x:v>Hvilke leveringsdage, minimum og dags-/ugelister gælder Brejning?</x:v>
      </x:c>
      <x:c r="Q25" s="101" t="str">
        <x:v>https://neptunseafood.dk/</x:v>
      </x:c>
      <x:c r="R25" s="106" t="n">
        <x:v>46254</x:v>
      </x:c>
      <x:c r="S25" s="101" t="str">
        <x:v>Høj</x:v>
      </x:c>
      <x:c r="T25" s="101" t="str">
        <x:v>Offentlig info angiver fragtfri landsdækkende levering og kort vej fra Fredericia-pakkeri</x:v>
      </x:c>
    </x:row>
    <x:row r="26" ht="70" customHeight="1">
      <x:c r="A26" s="103" t="n">
        <x:v>2</x:v>
      </x:c>
      <x:c r="B26" s="101" t="str">
        <x:v>Lokalt fjerkræ</x:v>
      </x:c>
      <x:c r="C26" s="101" t="str">
        <x:v>Hopballe Mølle</x:v>
      </x:c>
      <x:c r="D26" s="101" t="str">
        <x:v>Kød/fjerkræ</x:v>
      </x:c>
      <x:c r="E26" s="101" t="str">
        <x:v>Lokale velfærdskyllinger, slagteri og forarbejdede kyllingeprodukter</x:v>
      </x:c>
      <x:c r="F26" s="101" t="str">
        <x:v>Hopballevej 56</x:v>
      </x:c>
      <x:c r="G26" s="101" t="str">
        <x:v>7300 Jelling</x:v>
      </x:c>
      <x:c r="H26" s="105" t="n">
        <x:v>32</x:v>
      </x:c>
      <x:c r="I26" s="101" t="str">
        <x:v>Ca. køreafstand</x:v>
      </x:c>
      <x:c r="J26" s="101" t="str">
        <x:v>Sandsynlig</x:v>
      </x:c>
      <x:c r="K26" s="101" t="str">
        <x:v>Direkte webshop, butik og mulig erhvervsaftale</x:v>
      </x:c>
      <x:c r="L26" s="101" t="str">
        <x:v>75 85 37 54</x:v>
      </x:c>
      <x:c r="M26" s="101" t="str">
        <x:v>info@hopballe.dk</x:v>
      </x:c>
      <x:c r="N26" s="101" t="str">
        <x:v>https://www.hopballe.dk/</x:v>
      </x:c>
      <x:c r="O26" s="101" t="str">
        <x:v>Signaturkylling og hele dyr, hvis køkkenet vil arbejde med lokal fortælling og udnyttelse</x:v>
      </x:c>
      <x:c r="P26" s="101" t="str">
        <x:v>Hvad er erhvervspriser, leveringsdag, min. ordre og muligheder for hele dyr/indmad?</x:v>
      </x:c>
      <x:c r="Q26" s="101" t="str">
        <x:v>https://www.hopballe.dk/kyllingerne-2/vaerdier/</x:v>
      </x:c>
      <x:c r="R26" s="106" t="n">
        <x:v>46254</x:v>
      </x:c>
      <x:c r="S26" s="101" t="str">
        <x:v>Høj</x:v>
      </x:c>
      <x:c r="T26" s="101" t="str">
        <x:v>Direkte levering findes; konkrete B2B-vilkår skal aftales</x:v>
      </x:c>
    </x:row>
    <x:row r="27" ht="70" customHeight="1">
      <x:c r="A27" s="103" t="n">
        <x:v>3</x:v>
      </x:c>
      <x:c r="B27" s="101" t="str">
        <x:v>Øko mejeri</x:v>
      </x:c>
      <x:c r="C27" s="101" t="str">
        <x:v>Naturmælk</x:v>
      </x:c>
      <x:c r="D27" s="101" t="str">
        <x:v>Ost/mejeri</x:v>
      </x:c>
      <x:c r="E27" s="101" t="str">
        <x:v>Økologisk mælk, fløde, smør og mejeriprodukter fra et mindre landmandsejet mejeri</x:v>
      </x:c>
      <x:c r="F27" s="101" t="str">
        <x:v>Gerrebækvej 24</x:v>
      </x:c>
      <x:c r="G27" s="101" t="str">
        <x:v>6360 Tinglev</x:v>
      </x:c>
      <x:c r="H27" s="105" t="n">
        <x:v>119</x:v>
      </x:c>
      <x:c r="I27" s="101" t="str">
        <x:v>Ca. køreafstand til mejeri</x:v>
      </x:c>
      <x:c r="J27" s="101" t="str">
        <x:v>Skal bekræftes</x:v>
      </x:c>
      <x:c r="K27" s="101" t="str">
        <x:v>Direkte salgskontakt; kan også findes gennem grossister</x:v>
      </x:c>
      <x:c r="L27" s="101" t="str">
        <x:v>74 64 28 01</x:v>
      </x:c>
      <x:c r="M27" s="101" t="str">
        <x:v>info@naturmaelk.dk</x:v>
      </x:c>
      <x:c r="N27" s="101" t="str">
        <x:v>https://www.naturmaelk.dk/</x:v>
      </x:c>
      <x:c r="O27" s="101" t="str">
        <x:v>Undersøg kun direkte hvis et bestemt produkt eller lokal mejeriprofil er central</x:v>
      </x:c>
      <x:c r="P27" s="101" t="str">
        <x:v>Hvem distribuerer foodservice til 7080, og hvilke produkter fås i professionelle formater?</x:v>
      </x:c>
      <x:c r="Q27" s="101" t="str">
        <x:v>https://www.naturmaelk.dk/mere-om-naturmaelk/kontakt/</x:v>
      </x:c>
      <x:c r="R27" s="106" t="n">
        <x:v>46254</x:v>
      </x:c>
      <x:c r="S27" s="101" t="str">
        <x:v>Høj</x:v>
      </x:c>
      <x:c r="T27" s="101" t="str">
        <x:v>Kan sandsynligvis være enklere at købe gennem eksisterende grossist</x:v>
      </x:c>
    </x:row>
  </x:sheetData>
  <x:mergeCells>
    <x:mergeCell ref="A1:T1"/>
    <x:mergeCell ref="A2:T2"/>
    <x:mergeCell ref="A4:T4"/>
  </x:mergeCells>
  <x:conditionalFormatting sqref="A6:A27">
    <x:cfRule type="cellIs" dxfId="0" priority="1" operator="equal">
      <x:formula>1</x:formula>
    </x:cfRule>
  </x:conditionalFormatting>
  <x:conditionalFormatting sqref="J6:J27">
    <x:cfRule type="containsText" dxfId="1" priority="2" operator="containsText" text="Dokumenteret"/>
    <x:cfRule type="containsText" dxfId="2" priority="3" operator="containsText" text="Skal bekræftes"/>
  </x:conditionalFormatting>
  <x:pageMargins left="0.7" right="0.7" top="0.75" bottom="0.75" header="0.3" footer="0.3"/>
  <x:tableParts count="1">
    <x:tablePart xmlns:r="http://schemas.openxmlformats.org/officeDocument/2006/relationships" r:id="R159e539c616643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22" hidden="0" customWidth="1"/>
    <x:col min="4" max="4" width="18" hidden="0" customWidth="1"/>
    <x:col min="5" max="5" width="50" hidden="0" customWidth="1"/>
    <x:col min="6" max="6" width="16" hidden="0" customWidth="1"/>
    <x:col min="7" max="7" width="16" hidden="0" customWidth="1"/>
    <x:col min="8" max="8" width="24" hidden="0" customWidth="1"/>
    <x:col min="9" max="9" width="44" hidden="0" customWidth="1"/>
  </x:cols>
  <x:sheetData>
    <x:row r="1">
      <x:c r="A1" s="93" t="str">
        <x:v>Kontaktplan — de første otte henvendelser</x:v>
      </x:c>
      <x:c r="B1" s="93"/>
      <x:c r="C1" s="93"/>
      <x:c r="D1" s="93"/>
      <x:c r="E1" s="93"/>
      <x:c r="F1" s="93"/>
      <x:c r="G1" s="93"/>
      <x:c r="H1" s="93"/>
      <x:c r="I1" s="93"/>
    </x:row>
    <x:row r="2">
      <x:c r="A2" s="107" t="str">
        <x:v>Brug arket som arbejdslog. Få altid bekræftet rute, minimumsordre, leveringstid, reklamationspraksis og adgang til ugentlige tilbud/sæsonlister.</x:v>
      </x:c>
      <x:c r="B2" s="107"/>
      <x:c r="C2" s="107"/>
      <x:c r="D2" s="107"/>
      <x:c r="E2" s="107"/>
      <x:c r="F2" s="107"/>
      <x:c r="G2" s="107"/>
      <x:c r="H2" s="107"/>
      <x:c r="I2" s="107"/>
    </x:row>
    <x:row r="4" ht="32" customHeight="1">
      <x:c r="A4" s="109" t="str">
        <x:v>Rækkefølge</x:v>
      </x:c>
      <x:c r="B4" s="109" t="str">
        <x:v>Leverandør</x:v>
      </x:c>
      <x:c r="C4" s="109" t="str">
        <x:v>Formål</x:v>
      </x:c>
      <x:c r="D4" s="109" t="str">
        <x:v>Status</x:v>
      </x:c>
      <x:c r="E4" s="109" t="str">
        <x:v>Første handling</x:v>
      </x:c>
      <x:c r="F4" s="109" t="str">
        <x:v>Senest kontaktet</x:v>
      </x:c>
      <x:c r="G4" s="109" t="str">
        <x:v>Næste opfølgning</x:v>
      </x:c>
      <x:c r="H4" s="109" t="str">
        <x:v>Prøveordre / møde</x:v>
      </x:c>
      <x:c r="I4" s="109" t="str">
        <x:v>Noter</x:v>
      </x:c>
    </x:row>
    <x:row r="5" ht="58" customHeight="1">
      <x:c r="A5" s="113" t="n">
        <x:v>1</x:v>
      </x:c>
      <x:c r="B5" s="111" t="str">
        <x:v>H &amp; P Frugtimport</x:v>
      </x:c>
      <x:c r="C5" s="111" t="str">
        <x:v>Grøn rygrad</x:v>
      </x:c>
      <x:c r="D5" s="111" t="str">
        <x:v>Ikke kontaktet</x:v>
      </x:c>
      <x:c r="E5" s="111" t="str">
        <x:v>Få leveringsdage, minimum og adgang til ugens sæson-/specialliste</x:v>
      </x:c>
      <x:c r="F5" s="114"/>
      <x:c r="G5" s="114"/>
      <x:c r="H5" s="111"/>
      <x:c r="I5" s="111" t="str"/>
    </x:row>
    <x:row r="6" ht="58" customHeight="1">
      <x:c r="A6" s="113" t="n">
        <x:v>2</x:v>
      </x:c>
      <x:c r="B6" s="111" t="str">
        <x:v>Gourmet Engros</x:v>
      </x:c>
      <x:c r="C6" s="111" t="str">
        <x:v>Specialkolonial tæt på</x:v>
      </x:c>
      <x:c r="D6" s="111" t="str">
        <x:v>Ikke kontaktet</x:v>
      </x:c>
      <x:c r="E6" s="111" t="str">
        <x:v>Få B2B-vilkår og en fokuseret startkurv til menukortet</x:v>
      </x:c>
      <x:c r="F6" s="114"/>
      <x:c r="G6" s="114"/>
      <x:c r="H6" s="111"/>
      <x:c r="I6" s="111" t="str"/>
    </x:row>
    <x:row r="7" ht="58" customHeight="1">
      <x:c r="A7" s="113" t="n">
        <x:v>3</x:v>
      </x:c>
      <x:c r="B7" s="111" t="str">
        <x:v>Gartneriet Rødmose</x:v>
      </x:c>
      <x:c r="C7" s="111" t="str">
        <x:v>Lokal sæson</x:v>
      </x:c>
      <x:c r="D7" s="111" t="str">
        <x:v>Ikke kontaktet</x:v>
      </x:c>
      <x:c r="E7" s="111" t="str">
        <x:v>Aftal markliste samt fast afhentning eller levering</x:v>
      </x:c>
      <x:c r="F7" s="114"/>
      <x:c r="G7" s="114"/>
      <x:c r="H7" s="111"/>
      <x:c r="I7" s="111" t="str"/>
    </x:row>
    <x:row r="8" ht="58" customHeight="1">
      <x:c r="A8" s="113" t="n">
        <x:v>4</x:v>
      </x:c>
      <x:c r="B8" s="111" t="str">
        <x:v>Det Lille Økori</x:v>
      </x:c>
      <x:c r="C8" s="111" t="str">
        <x:v>Karaktervarer</x:v>
      </x:c>
      <x:c r="D8" s="111" t="str">
        <x:v>Ikke kontaktet</x:v>
      </x:c>
      <x:c r="E8" s="111" t="str">
        <x:v>Afklar kapacitet, ugeliste og restaurantlevering</x:v>
      </x:c>
      <x:c r="F8" s="114"/>
      <x:c r="G8" s="114"/>
      <x:c r="H8" s="111"/>
      <x:c r="I8" s="111" t="str"/>
    </x:row>
    <x:row r="9" ht="58" customHeight="1">
      <x:c r="A9" s="113" t="n">
        <x:v>5</x:v>
      </x:c>
      <x:c r="B9" s="111" t="str">
        <x:v>Aarstiderne Engros</x:v>
      </x:c>
      <x:c r="C9" s="111" t="str">
        <x:v>Samlet øko-alternativ</x:v>
      </x:c>
      <x:c r="D9" s="111" t="str">
        <x:v>Ikke kontaktet</x:v>
      </x:c>
      <x:c r="E9" s="111" t="str">
        <x:v>Sammenlign grønt, kolonial og leveringsøkonomi med Dagrofa</x:v>
      </x:c>
      <x:c r="F9" s="114"/>
      <x:c r="G9" s="114"/>
      <x:c r="H9" s="111"/>
      <x:c r="I9" s="111" t="str"/>
    </x:row>
    <x:row r="10" ht="58" customHeight="1">
      <x:c r="A10" s="113" t="n">
        <x:v>6</x:v>
      </x:c>
      <x:c r="B10" s="111" t="str">
        <x:v>Biogan</x:v>
      </x:c>
      <x:c r="C10" s="111" t="str">
        <x:v>Øko tørvarer</x:v>
      </x:c>
      <x:c r="D10" s="111" t="str">
        <x:v>Ikke kontaktet</x:v>
      </x:c>
      <x:c r="E10" s="111" t="str">
        <x:v>Få storkøkkenkatalog og fragtgrænser</x:v>
      </x:c>
      <x:c r="F10" s="114"/>
      <x:c r="G10" s="114"/>
      <x:c r="H10" s="111"/>
      <x:c r="I10" s="111" t="str"/>
    </x:row>
    <x:row r="11" ht="58" customHeight="1">
      <x:c r="A11" s="113" t="n">
        <x:v>7</x:v>
      </x:c>
      <x:c r="B11" s="111" t="str">
        <x:v>Megafood</x:v>
      </x:c>
      <x:c r="C11" s="111" t="str">
        <x:v>International kolonial</x:v>
      </x:c>
      <x:c r="D11" s="111" t="str">
        <x:v>Ikke kontaktet</x:v>
      </x:c>
      <x:c r="E11" s="111" t="str">
        <x:v>Tag en sortiments-/inspirationstur til Brabrand</x:v>
      </x:c>
      <x:c r="F11" s="114"/>
      <x:c r="G11" s="114"/>
      <x:c r="H11" s="111"/>
      <x:c r="I11" s="111" t="str"/>
    </x:row>
    <x:row r="12" ht="58" customHeight="1">
      <x:c r="A12" s="113" t="n">
        <x:v>8</x:v>
      </x:c>
      <x:c r="B12" s="111" t="str">
        <x:v>Gastro Import</x:v>
      </x:c>
      <x:c r="C12" s="111" t="str">
        <x:v>Sydeuropæiske specialvarer</x:v>
      </x:c>
      <x:c r="D12" s="111" t="str">
        <x:v>Ikke kontaktet</x:v>
      </x:c>
      <x:c r="E12" s="111" t="str">
        <x:v>Planlæg periodisk ordre og få Jyllandsrute bekræftet</x:v>
      </x:c>
      <x:c r="F12" s="114"/>
      <x:c r="G12" s="114"/>
      <x:c r="H12" s="111"/>
      <x:c r="I12" s="111" t="str"/>
    </x:row>
  </x:sheetData>
  <x:mergeCells>
    <x:mergeCell ref="A1:I1"/>
    <x:mergeCell ref="A2:I2"/>
  </x:mergeCells>
  <x:conditionalFormatting sqref="D5:D12">
    <x:cfRule type="containsText" dxfId="3" priority="1" operator="containsText" text="Aktiv"/>
    <x:cfRule type="containsText" dxfId="4" priority="2" operator="containsText" text="Afventer"/>
  </x:conditionalFormatting>
  <x:dataValidations count="1">
    <x:dataValidation type="list" sqref="D5:D12">
      <x:formula1>"Ikke kontaktet,Kontaktet,Afventer svar,Møde aftalt,Prøveordre,Aktiv,Fravalgt"</x:formula1>
    </x:dataValidation>
  </x:dataValidations>
  <x:pageMargins left="0.7" right="0.7" top="0.75" bottom="0.75" header="0.3" footer="0.3"/>
  <x:tableParts count="1">
    <x:tablePart xmlns:r="http://schemas.openxmlformats.org/officeDocument/2006/relationships" r:id="R1033c3ef38b443d9"/>
  </x:tableParts>
</x:worksheet>
</file>